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75895d9363c56/Desktop/ecommerce-sales-analysis/"/>
    </mc:Choice>
  </mc:AlternateContent>
  <xr:revisionPtr revIDLastSave="0" documentId="8_{FE10E432-2EBC-41FD-8637-CA6338ACF88A}" xr6:coauthVersionLast="47" xr6:coauthVersionMax="47" xr10:uidLastSave="{00000000-0000-0000-0000-000000000000}"/>
  <bookViews>
    <workbookView xWindow="-120" yWindow="-120" windowWidth="20730" windowHeight="11040" firstSheet="3" activeTab="5" xr2:uid="{7BE174D8-3431-4DD4-BDFB-2CB1598C590F}"/>
  </bookViews>
  <sheets>
    <sheet name="Sheet1" sheetId="2" r:id="rId1"/>
    <sheet name="monthly revenue trend" sheetId="4" r:id="rId2"/>
    <sheet name="revenue by category" sheetId="5" r:id="rId3"/>
    <sheet name="revenue by region" sheetId="6" r:id="rId4"/>
    <sheet name="order by payment method" sheetId="7" r:id="rId5"/>
    <sheet name="DASHBOARD" sheetId="9" r:id="rId6"/>
    <sheet name="ecommerce_sales_500_rows" sheetId="1" r:id="rId7"/>
  </sheets>
  <calcPr calcId="0"/>
  <pivotCaches>
    <pivotCache cacheId="12" r:id="rId8"/>
  </pivotCaches>
</workbook>
</file>

<file path=xl/calcChain.xml><?xml version="1.0" encoding="utf-8"?>
<calcChain xmlns="http://schemas.openxmlformats.org/spreadsheetml/2006/main">
  <c r="O16" i="1" l="1"/>
  <c r="O13" i="1"/>
  <c r="O7" i="1"/>
  <c r="O11" i="1"/>
  <c r="O9" i="1"/>
</calcChain>
</file>

<file path=xl/sharedStrings.xml><?xml version="1.0" encoding="utf-8"?>
<sst xmlns="http://schemas.openxmlformats.org/spreadsheetml/2006/main" count="3581" uniqueCount="732">
  <si>
    <t>order_id</t>
  </si>
  <si>
    <t>customer_id</t>
  </si>
  <si>
    <t>customer_name</t>
  </si>
  <si>
    <t>product</t>
  </si>
  <si>
    <t>category</t>
  </si>
  <si>
    <t>quantity</t>
  </si>
  <si>
    <t>price</t>
  </si>
  <si>
    <t>order_date</t>
  </si>
  <si>
    <t>region</t>
  </si>
  <si>
    <t>payment_method</t>
  </si>
  <si>
    <t>cost</t>
  </si>
  <si>
    <t>revenue</t>
  </si>
  <si>
    <t>profit</t>
  </si>
  <si>
    <t>O0001</t>
  </si>
  <si>
    <t>C063</t>
  </si>
  <si>
    <t>Harini</t>
  </si>
  <si>
    <t>Smart Watch</t>
  </si>
  <si>
    <t>Electronics</t>
  </si>
  <si>
    <t>Coimbatore</t>
  </si>
  <si>
    <t>Credit Card</t>
  </si>
  <si>
    <t>O0002</t>
  </si>
  <si>
    <t>C109</t>
  </si>
  <si>
    <t>Arun</t>
  </si>
  <si>
    <t>Chennai</t>
  </si>
  <si>
    <t>UPI</t>
  </si>
  <si>
    <t>O0003</t>
  </si>
  <si>
    <t>C130</t>
  </si>
  <si>
    <t>Swetha</t>
  </si>
  <si>
    <t>Headphones</t>
  </si>
  <si>
    <t>Net Banking</t>
  </si>
  <si>
    <t>O0004</t>
  </si>
  <si>
    <t>C057</t>
  </si>
  <si>
    <t>Ajay</t>
  </si>
  <si>
    <t>T-Shirt</t>
  </si>
  <si>
    <t>Fashion</t>
  </si>
  <si>
    <t>Pondicherry</t>
  </si>
  <si>
    <t>O0005</t>
  </si>
  <si>
    <t>Shoes</t>
  </si>
  <si>
    <t>Trichy</t>
  </si>
  <si>
    <t>Debit Card</t>
  </si>
  <si>
    <t>O0006</t>
  </si>
  <si>
    <t>C027</t>
  </si>
  <si>
    <t>Rahul</t>
  </si>
  <si>
    <t>Keyboard</t>
  </si>
  <si>
    <t>Bengaluru</t>
  </si>
  <si>
    <t>Cash on Delivery</t>
  </si>
  <si>
    <t>O0007</t>
  </si>
  <si>
    <t>C068</t>
  </si>
  <si>
    <t>Meena</t>
  </si>
  <si>
    <t>O0008</t>
  </si>
  <si>
    <t>C021</t>
  </si>
  <si>
    <t>Priya</t>
  </si>
  <si>
    <t>Water Bottle</t>
  </si>
  <si>
    <t>Home &amp; Kitchen</t>
  </si>
  <si>
    <t>Madurai</t>
  </si>
  <si>
    <t>O0009</t>
  </si>
  <si>
    <t>C018</t>
  </si>
  <si>
    <t>Deepa</t>
  </si>
  <si>
    <t>Saree</t>
  </si>
  <si>
    <t>O0010</t>
  </si>
  <si>
    <t>C026</t>
  </si>
  <si>
    <t>Anitha</t>
  </si>
  <si>
    <t>Hoodie</t>
  </si>
  <si>
    <t>Salem</t>
  </si>
  <si>
    <t>O0011</t>
  </si>
  <si>
    <t>C095</t>
  </si>
  <si>
    <t>Suresh</t>
  </si>
  <si>
    <t>Cookware Set</t>
  </si>
  <si>
    <t>O0012</t>
  </si>
  <si>
    <t>C044</t>
  </si>
  <si>
    <t>Divya</t>
  </si>
  <si>
    <t>O0013</t>
  </si>
  <si>
    <t>C143</t>
  </si>
  <si>
    <t>O0014</t>
  </si>
  <si>
    <t>C081</t>
  </si>
  <si>
    <t>Mobile</t>
  </si>
  <si>
    <t>O0015</t>
  </si>
  <si>
    <t>O0016</t>
  </si>
  <si>
    <t>Coffee Maker</t>
  </si>
  <si>
    <t>Hyderabad</t>
  </si>
  <si>
    <t>O0017</t>
  </si>
  <si>
    <t>C150</t>
  </si>
  <si>
    <t>O0018</t>
  </si>
  <si>
    <t>C036</t>
  </si>
  <si>
    <t>Pooja</t>
  </si>
  <si>
    <t>O0019</t>
  </si>
  <si>
    <t>C041</t>
  </si>
  <si>
    <t>O0020</t>
  </si>
  <si>
    <t>C120</t>
  </si>
  <si>
    <t>Keerthana</t>
  </si>
  <si>
    <t>O0021</t>
  </si>
  <si>
    <t>C138</t>
  </si>
  <si>
    <t>Laptop</t>
  </si>
  <si>
    <t>O0022</t>
  </si>
  <si>
    <t>O0023</t>
  </si>
  <si>
    <t>O0024</t>
  </si>
  <si>
    <t>C040</t>
  </si>
  <si>
    <t>Desk Lamp</t>
  </si>
  <si>
    <t>O0025</t>
  </si>
  <si>
    <t>C083</t>
  </si>
  <si>
    <t>O0026</t>
  </si>
  <si>
    <t>C062</t>
  </si>
  <si>
    <t>Sanjay</t>
  </si>
  <si>
    <t>O0027</t>
  </si>
  <si>
    <t>O0028</t>
  </si>
  <si>
    <t>Bedsheet</t>
  </si>
  <si>
    <t>O0029</t>
  </si>
  <si>
    <t>C103</t>
  </si>
  <si>
    <t>O0030</t>
  </si>
  <si>
    <t>C064</t>
  </si>
  <si>
    <t>O0031</t>
  </si>
  <si>
    <t>C142</t>
  </si>
  <si>
    <t>Backpack</t>
  </si>
  <si>
    <t>O0032</t>
  </si>
  <si>
    <t>C016</t>
  </si>
  <si>
    <t>Jeans</t>
  </si>
  <si>
    <t>O0033</t>
  </si>
  <si>
    <t>C132</t>
  </si>
  <si>
    <t>Nisha</t>
  </si>
  <si>
    <t>O0034</t>
  </si>
  <si>
    <t>C034</t>
  </si>
  <si>
    <t>Kavya</t>
  </si>
  <si>
    <t>O0035</t>
  </si>
  <si>
    <t>C025</t>
  </si>
  <si>
    <t>Karthik</t>
  </si>
  <si>
    <t>O0036</t>
  </si>
  <si>
    <t>O0037</t>
  </si>
  <si>
    <t>C028</t>
  </si>
  <si>
    <t>O0038</t>
  </si>
  <si>
    <t>O0039</t>
  </si>
  <si>
    <t>C020</t>
  </si>
  <si>
    <t>O0040</t>
  </si>
  <si>
    <t>C139</t>
  </si>
  <si>
    <t>Manoj</t>
  </si>
  <si>
    <t>O0041</t>
  </si>
  <si>
    <t>C125</t>
  </si>
  <si>
    <t>O0042</t>
  </si>
  <si>
    <t>C098</t>
  </si>
  <si>
    <t>O0043</t>
  </si>
  <si>
    <t>O0044</t>
  </si>
  <si>
    <t>C015</t>
  </si>
  <si>
    <t>O0045</t>
  </si>
  <si>
    <t>C123</t>
  </si>
  <si>
    <t>O0046</t>
  </si>
  <si>
    <t>O0047</t>
  </si>
  <si>
    <t>O0048</t>
  </si>
  <si>
    <t>O0049</t>
  </si>
  <si>
    <t>O0050</t>
  </si>
  <si>
    <t>C019</t>
  </si>
  <si>
    <t>O0051</t>
  </si>
  <si>
    <t>C055</t>
  </si>
  <si>
    <t>O0052</t>
  </si>
  <si>
    <t>O0053</t>
  </si>
  <si>
    <t>C078</t>
  </si>
  <si>
    <t>O0054</t>
  </si>
  <si>
    <t>O0055</t>
  </si>
  <si>
    <t>C073</t>
  </si>
  <si>
    <t>Ravi</t>
  </si>
  <si>
    <t>O0056</t>
  </si>
  <si>
    <t>C126</t>
  </si>
  <si>
    <t>O0057</t>
  </si>
  <si>
    <t>C012</t>
  </si>
  <si>
    <t>O0058</t>
  </si>
  <si>
    <t>C114</t>
  </si>
  <si>
    <t>O0059</t>
  </si>
  <si>
    <t>C039</t>
  </si>
  <si>
    <t>O0060</t>
  </si>
  <si>
    <t>C033</t>
  </si>
  <si>
    <t>O0061</t>
  </si>
  <si>
    <t>C054</t>
  </si>
  <si>
    <t>O0062</t>
  </si>
  <si>
    <t>O0063</t>
  </si>
  <si>
    <t>C046</t>
  </si>
  <si>
    <t>Mouse</t>
  </si>
  <si>
    <t>O0064</t>
  </si>
  <si>
    <t>O0065</t>
  </si>
  <si>
    <t>C118</t>
  </si>
  <si>
    <t>O0066</t>
  </si>
  <si>
    <t>C050</t>
  </si>
  <si>
    <t>O0067</t>
  </si>
  <si>
    <t>C090</t>
  </si>
  <si>
    <t>O0068</t>
  </si>
  <si>
    <t>C067</t>
  </si>
  <si>
    <t>O0069</t>
  </si>
  <si>
    <t>C112</t>
  </si>
  <si>
    <t>O0070</t>
  </si>
  <si>
    <t>C030</t>
  </si>
  <si>
    <t>Mixer Grinder</t>
  </si>
  <si>
    <t>O0071</t>
  </si>
  <si>
    <t>O0072</t>
  </si>
  <si>
    <t>C111</t>
  </si>
  <si>
    <t>Vijay</t>
  </si>
  <si>
    <t>O0073</t>
  </si>
  <si>
    <t>O0074</t>
  </si>
  <si>
    <t>C076</t>
  </si>
  <si>
    <t>O0075</t>
  </si>
  <si>
    <t>C045</t>
  </si>
  <si>
    <t>O0076</t>
  </si>
  <si>
    <t>C074</t>
  </si>
  <si>
    <t>O0077</t>
  </si>
  <si>
    <t>O0078</t>
  </si>
  <si>
    <t>C022</t>
  </si>
  <si>
    <t>O0079</t>
  </si>
  <si>
    <t>C080</t>
  </si>
  <si>
    <t>O0080</t>
  </si>
  <si>
    <t>O0081</t>
  </si>
  <si>
    <t>C148</t>
  </si>
  <si>
    <t>O0082</t>
  </si>
  <si>
    <t>C038</t>
  </si>
  <si>
    <t>O0083</t>
  </si>
  <si>
    <t>C133</t>
  </si>
  <si>
    <t>O0084</t>
  </si>
  <si>
    <t>C117</t>
  </si>
  <si>
    <t>O0085</t>
  </si>
  <si>
    <t>C082</t>
  </si>
  <si>
    <t>O0086</t>
  </si>
  <si>
    <t>C115</t>
  </si>
  <si>
    <t>O0087</t>
  </si>
  <si>
    <t>C071</t>
  </si>
  <si>
    <t>O0088</t>
  </si>
  <si>
    <t>O0089</t>
  </si>
  <si>
    <t>O0090</t>
  </si>
  <si>
    <t>O0091</t>
  </si>
  <si>
    <t>O0092</t>
  </si>
  <si>
    <t>C100</t>
  </si>
  <si>
    <t>O0093</t>
  </si>
  <si>
    <t>C091</t>
  </si>
  <si>
    <t>O0094</t>
  </si>
  <si>
    <t>O0095</t>
  </si>
  <si>
    <t>C008</t>
  </si>
  <si>
    <t>O0096</t>
  </si>
  <si>
    <t>O0097</t>
  </si>
  <si>
    <t>C110</t>
  </si>
  <si>
    <t>O0098</t>
  </si>
  <si>
    <t>O0099</t>
  </si>
  <si>
    <t>O0100</t>
  </si>
  <si>
    <t>C005</t>
  </si>
  <si>
    <t>O0101</t>
  </si>
  <si>
    <t>C011</t>
  </si>
  <si>
    <t>O0102</t>
  </si>
  <si>
    <t>O0103</t>
  </si>
  <si>
    <t>C056</t>
  </si>
  <si>
    <t>O0104</t>
  </si>
  <si>
    <t>O0105</t>
  </si>
  <si>
    <t>O0106</t>
  </si>
  <si>
    <t>O0107</t>
  </si>
  <si>
    <t>C089</t>
  </si>
  <si>
    <t>O0108</t>
  </si>
  <si>
    <t>C088</t>
  </si>
  <si>
    <t>O0109</t>
  </si>
  <si>
    <t>C093</t>
  </si>
  <si>
    <t>O0110</t>
  </si>
  <si>
    <t>C070</t>
  </si>
  <si>
    <t>O0111</t>
  </si>
  <si>
    <t>O0112</t>
  </si>
  <si>
    <t>C119</t>
  </si>
  <si>
    <t>O0113</t>
  </si>
  <si>
    <t>C047</t>
  </si>
  <si>
    <t>O0114</t>
  </si>
  <si>
    <t>C072</t>
  </si>
  <si>
    <t>O0115</t>
  </si>
  <si>
    <t>O0116</t>
  </si>
  <si>
    <t>C122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</si>
  <si>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</si>
  <si>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</si>
  <si>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</si>
  <si>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</si>
  <si>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</si>
  <si>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</si>
  <si>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</si>
  <si>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</si>
  <si>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C014</t>
  </si>
  <si>
    <t>O0125</t>
  </si>
  <si>
    <t>C147</t>
  </si>
  <si>
    <t>O0126</t>
  </si>
  <si>
    <t>C048</t>
  </si>
  <si>
    <t>O0127</t>
  </si>
  <si>
    <t>O0128</t>
  </si>
  <si>
    <t>C145</t>
  </si>
  <si>
    <t>O0129</t>
  </si>
  <si>
    <t>C107</t>
  </si>
  <si>
    <t>O0130</t>
  </si>
  <si>
    <t>C077</t>
  </si>
  <si>
    <t>O0131</t>
  </si>
  <si>
    <t>O0132</t>
  </si>
  <si>
    <t>O0133</t>
  </si>
  <si>
    <t>C121</t>
  </si>
  <si>
    <t>O0134</t>
  </si>
  <si>
    <t>O0135</t>
  </si>
  <si>
    <t>C051</t>
  </si>
  <si>
    <t>O0136</t>
  </si>
  <si>
    <t>O0137</t>
  </si>
  <si>
    <t>C079</t>
  </si>
  <si>
    <t>O0138</t>
  </si>
  <si>
    <t>O0139</t>
  </si>
  <si>
    <t>C113</t>
  </si>
  <si>
    <t>O0140</t>
  </si>
  <si>
    <t>C065</t>
  </si>
  <si>
    <t>O0141</t>
  </si>
  <si>
    <t>C006</t>
  </si>
  <si>
    <t>O0142</t>
  </si>
  <si>
    <t>O0143</t>
  </si>
  <si>
    <t>O0144</t>
  </si>
  <si>
    <t>O0145</t>
  </si>
  <si>
    <t>C127</t>
  </si>
  <si>
    <t>O0146</t>
  </si>
  <si>
    <t>C023</t>
  </si>
  <si>
    <t>O0147</t>
  </si>
  <si>
    <t>O0148</t>
  </si>
  <si>
    <t>C049</t>
  </si>
  <si>
    <t>O0149</t>
  </si>
  <si>
    <t>C053</t>
  </si>
  <si>
    <t>O0150</t>
  </si>
  <si>
    <t>O0151</t>
  </si>
  <si>
    <t>O0152</t>
  </si>
  <si>
    <t>O0153</t>
  </si>
  <si>
    <t>C131</t>
  </si>
  <si>
    <t>O0154</t>
  </si>
  <si>
    <t>O0155</t>
  </si>
  <si>
    <t>C035</t>
  </si>
  <si>
    <t>O0156</t>
  </si>
  <si>
    <t>C069</t>
  </si>
  <si>
    <t>O0157</t>
  </si>
  <si>
    <t>O0158</t>
  </si>
  <si>
    <t>C086</t>
  </si>
  <si>
    <t>O0159</t>
  </si>
  <si>
    <t>O0160</t>
  </si>
  <si>
    <t>O0161</t>
  </si>
  <si>
    <t>O0162</t>
  </si>
  <si>
    <t>O0163</t>
  </si>
  <si>
    <t>O0164</t>
  </si>
  <si>
    <t>C137</t>
  </si>
  <si>
    <t>O0165</t>
  </si>
  <si>
    <t>O0166</t>
  </si>
  <si>
    <t>O0167</t>
  </si>
  <si>
    <t>O0168</t>
  </si>
  <si>
    <t>O0169</t>
  </si>
  <si>
    <t>O0170</t>
  </si>
  <si>
    <t>O0171</t>
  </si>
  <si>
    <t>C066</t>
  </si>
  <si>
    <t>O0172</t>
  </si>
  <si>
    <t>C140</t>
  </si>
  <si>
    <t>O0173</t>
  </si>
  <si>
    <t>O0174</t>
  </si>
  <si>
    <t>C099</t>
  </si>
  <si>
    <t>O0175</t>
  </si>
  <si>
    <t>C092</t>
  </si>
  <si>
    <t>O0176</t>
  </si>
  <si>
    <t>C003</t>
  </si>
  <si>
    <t>O0177</t>
  </si>
  <si>
    <t>O0178</t>
  </si>
  <si>
    <t>O0179</t>
  </si>
  <si>
    <t>C094</t>
  </si>
  <si>
    <t>O0180</t>
  </si>
  <si>
    <t>O0181</t>
  </si>
  <si>
    <t>C129</t>
  </si>
  <si>
    <t>O0182</t>
  </si>
  <si>
    <t>C087</t>
  </si>
  <si>
    <t>O0183</t>
  </si>
  <si>
    <t>C102</t>
  </si>
  <si>
    <t>O0184</t>
  </si>
  <si>
    <t>O0185</t>
  </si>
  <si>
    <t>O0186</t>
  </si>
  <si>
    <t>C144</t>
  </si>
  <si>
    <t>O0187</t>
  </si>
  <si>
    <t>O0188</t>
  </si>
  <si>
    <t>C010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</si>
  <si>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</si>
  <si>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</si>
  <si>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</si>
  <si>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</si>
  <si>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</si>
  <si>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</si>
  <si>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</si>
  <si>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</si>
  <si>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</si>
  <si>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</si>
  <si>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</si>
  <si>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C029</t>
  </si>
  <si>
    <t>O0200</t>
  </si>
  <si>
    <t>O0201</t>
  </si>
  <si>
    <t>C108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</si>
  <si>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</si>
  <si>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</si>
  <si>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</si>
  <si>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</si>
  <si>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</si>
  <si>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</si>
  <si>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</si>
  <si>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</si>
  <si>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</si>
  <si>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</si>
  <si>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</si>
  <si>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</si>
  <si>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C032</t>
  </si>
  <si>
    <t>O0214</t>
  </si>
  <si>
    <t>O0215</t>
  </si>
  <si>
    <t>C124</t>
  </si>
  <si>
    <t>O0216</t>
  </si>
  <si>
    <t>O0217</t>
  </si>
  <si>
    <t>O0218</t>
  </si>
  <si>
    <t>O0219</t>
  </si>
  <si>
    <t>C037</t>
  </si>
  <si>
    <t>O0220</t>
  </si>
  <si>
    <t>C136</t>
  </si>
  <si>
    <t>O0221</t>
  </si>
  <si>
    <t>O0222</t>
  </si>
  <si>
    <t>O0223</t>
  </si>
  <si>
    <t>O0224</t>
  </si>
  <si>
    <t>O0225</t>
  </si>
  <si>
    <t>O0226</t>
  </si>
  <si>
    <t>C135</t>
  </si>
  <si>
    <t>O0227</t>
  </si>
  <si>
    <t>O0228</t>
  </si>
  <si>
    <t>O0229</t>
  </si>
  <si>
    <t>O0230</t>
  </si>
  <si>
    <t>C059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</si>
  <si>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</si>
  <si>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</si>
  <si>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</si>
  <si>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</si>
  <si>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</si>
  <si>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</si>
  <si>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</si>
  <si>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</si>
  <si>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</si>
  <si>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</si>
  <si>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C149</t>
  </si>
  <si>
    <t>O0241</t>
  </si>
  <si>
    <t>O0242</t>
  </si>
  <si>
    <t>O0243</t>
  </si>
  <si>
    <t>C116</t>
  </si>
  <si>
    <t>O0244</t>
  </si>
  <si>
    <t>C024</t>
  </si>
  <si>
    <t>O0245</t>
  </si>
  <si>
    <t>O0246</t>
  </si>
  <si>
    <t>O0247</t>
  </si>
  <si>
    <t>O0248</t>
  </si>
  <si>
    <t>C134</t>
  </si>
  <si>
    <t>O0249</t>
  </si>
  <si>
    <t>C105</t>
  </si>
  <si>
    <t>O0250</t>
  </si>
  <si>
    <t>C085</t>
  </si>
  <si>
    <t>O0251</t>
  </si>
  <si>
    <t>O0252</t>
  </si>
  <si>
    <t>C101</t>
  </si>
  <si>
    <t>O0253</t>
  </si>
  <si>
    <t>C097</t>
  </si>
  <si>
    <t>O0254</t>
  </si>
  <si>
    <t>O0255</t>
  </si>
  <si>
    <t>O0256</t>
  </si>
  <si>
    <t>O0257</t>
  </si>
  <si>
    <t>O0258</t>
  </si>
  <si>
    <t>O0259</t>
  </si>
  <si>
    <t>C106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</si>
  <si>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</si>
  <si>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</si>
  <si>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</si>
  <si>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</si>
  <si>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</si>
  <si>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</si>
  <si>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</si>
  <si>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</si>
  <si>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C096</t>
  </si>
  <si>
    <t>O0268</t>
  </si>
  <si>
    <t>O0269</t>
  </si>
  <si>
    <t>O0270</t>
  </si>
  <si>
    <t>C002</t>
  </si>
  <si>
    <t>O0271</t>
  </si>
  <si>
    <t>C141</t>
  </si>
  <si>
    <t>O0272</t>
  </si>
  <si>
    <t>O0273</t>
  </si>
  <si>
    <t>C017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</si>
  <si>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</si>
  <si>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</si>
  <si>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</si>
  <si>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</si>
  <si>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</si>
  <si>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</si>
  <si>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</si>
  <si>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</si>
  <si>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</si>
  <si>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C052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</si>
  <si>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</si>
  <si>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</si>
  <si>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</si>
  <si>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</si>
  <si>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</si>
  <si>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</si>
  <si>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</si>
  <si>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</si>
  <si>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</si>
  <si>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</si>
  <si>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</si>
  <si>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</si>
  <si>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</si>
  <si>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</si>
  <si>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</si>
  <si>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</si>
  <si>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</si>
  <si>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</si>
  <si>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</si>
  <si>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</si>
  <si>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</si>
  <si>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</si>
  <si>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</si>
  <si>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</si>
  <si>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</si>
  <si>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</si>
  <si>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</si>
  <si>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</si>
  <si>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C058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</si>
  <si>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</si>
  <si>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</si>
  <si>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</si>
  <si>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</si>
  <si>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</si>
  <si>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</si>
  <si>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</si>
  <si>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</si>
  <si>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</si>
  <si>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</si>
  <si>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</si>
  <si>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</si>
  <si>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</si>
  <si>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</si>
  <si>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C128</t>
  </si>
  <si>
    <t>O0325</t>
  </si>
  <si>
    <t>O0326</t>
  </si>
  <si>
    <t>C013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</si>
  <si>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</si>
  <si>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</si>
  <si>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</si>
  <si>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</si>
  <si>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</si>
  <si>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</si>
  <si>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</si>
  <si>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</si>
  <si>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</si>
  <si>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</si>
  <si>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</si>
  <si>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</si>
  <si>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</si>
  <si>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</si>
  <si>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</si>
  <si>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</si>
  <si>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</si>
  <si>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</si>
  <si>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</si>
  <si>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</si>
  <si>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</si>
  <si>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</si>
  <si>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</si>
  <si>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</si>
  <si>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</si>
  <si>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</si>
  <si>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</si>
  <si>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</si>
  <si>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C060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</si>
  <si>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</si>
  <si>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</si>
  <si>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</si>
  <si>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</si>
  <si>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</si>
  <si>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</si>
  <si>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</si>
  <si>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</si>
  <si>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</si>
  <si>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C004</t>
  </si>
  <si>
    <t>O0364</t>
  </si>
  <si>
    <t>C104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</si>
  <si>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</si>
  <si>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</si>
  <si>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</si>
  <si>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</si>
  <si>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</si>
  <si>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</si>
  <si>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</si>
  <si>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</si>
  <si>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</si>
  <si>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</si>
  <si>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</si>
  <si>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</si>
  <si>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</si>
  <si>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</si>
  <si>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</si>
  <si>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</si>
  <si>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</si>
  <si>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</si>
  <si>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</si>
  <si>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</si>
  <si>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</si>
  <si>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</si>
  <si>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</si>
  <si>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</si>
  <si>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</si>
  <si>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C009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</si>
  <si>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</si>
  <si>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</si>
  <si>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</si>
  <si>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</si>
  <si>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</si>
  <si>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</si>
  <si>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</si>
  <si>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</si>
  <si>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</si>
  <si>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</si>
  <si>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</si>
  <si>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</si>
  <si>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</si>
  <si>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</si>
  <si>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C031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</si>
  <si>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</si>
  <si>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</si>
  <si>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</si>
  <si>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</si>
  <si>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</si>
  <si>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</si>
  <si>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</si>
  <si>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</si>
  <si>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</si>
  <si>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</si>
  <si>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</si>
  <si>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</si>
  <si>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</si>
  <si>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</si>
  <si>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</si>
  <si>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</si>
  <si>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</si>
  <si>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</si>
  <si>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</si>
  <si>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</si>
  <si>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</si>
  <si>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</si>
  <si>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</si>
  <si>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</si>
  <si>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</si>
  <si>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</si>
  <si>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</si>
  <si>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</si>
  <si>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</si>
  <si>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</si>
  <si>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</si>
  <si>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</si>
  <si>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</si>
  <si>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</si>
  <si>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</si>
  <si>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</si>
  <si>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</si>
  <si>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</si>
  <si>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</si>
  <si>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</si>
  <si>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</si>
  <si>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</si>
  <si>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</si>
  <si>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</si>
  <si>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</si>
  <si>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</si>
  <si>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</si>
  <si>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</si>
  <si>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</si>
  <si>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</si>
  <si>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</si>
  <si>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</si>
  <si>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</si>
  <si>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</si>
  <si>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</si>
  <si>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</si>
  <si>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</si>
  <si>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</si>
  <si>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</si>
  <si>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</si>
  <si>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</si>
  <si>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</si>
  <si>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</si>
  <si>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</si>
  <si>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</si>
  <si>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</si>
  <si>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</si>
  <si>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</si>
  <si>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</si>
  <si>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</si>
  <si>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</si>
  <si>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</si>
  <si>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</si>
  <si>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C043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</si>
  <si>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</si>
  <si>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</si>
  <si>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</si>
  <si>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</si>
  <si>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</si>
  <si>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</si>
  <si>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</si>
  <si>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</si>
  <si>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</si>
  <si>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</si>
  <si>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</si>
  <si>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</si>
  <si>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</si>
  <si>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</si>
  <si>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</si>
  <si>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</si>
  <si>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</si>
  <si>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</si>
  <si>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</si>
  <si>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</si>
  <si>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</si>
  <si>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</si>
  <si>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</si>
  <si>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</si>
  <si>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</si>
  <si>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</si>
  <si>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</si>
  <si>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</si>
  <si>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</si>
  <si>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</si>
  <si>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</si>
  <si>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</si>
  <si>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</si>
  <si>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</si>
  <si>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</si>
  <si>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</si>
  <si>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</si>
  <si>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</si>
  <si>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</si>
  <si>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</si>
  <si>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Count of order_id</t>
  </si>
  <si>
    <t>TOTAL REVENUE</t>
  </si>
  <si>
    <t>TOTAL PROFIT</t>
  </si>
  <si>
    <t>TOTAL ORDERS</t>
  </si>
  <si>
    <t>AVERAGE ORDER VALUE</t>
  </si>
  <si>
    <t>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</si>
</sst>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3" tint="0.499984740745262"/>
      <name val="Aptos Narrow"/>
      <family val="2"/>
      <scheme val="minor"/>
    </font>
    <font>
      <sz val="20"/>
      <color theme="3" tint="0.499984740745262"/>
      <name val="Aptos Narrow"/>
      <family val="2"/>
      <scheme val="minor"/>
    </font>
    <font>
      <sz val="24"/>
      <color theme="3" tint="0.499984740745262"/>
      <name val="Aptos Narrow"/>
      <family val="2"/>
      <scheme val="minor"/>
    </font>
    <font>
      <b/>
      <sz val="28"/>
      <color theme="3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6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8" fontId="21" fillId="0" borderId="0" xfId="0" applyNumberFormat="1" applyFont="1" applyAlignment="1">
      <alignment horizontal="center"/>
    </xf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[ecommerce_sales_500_rows.xlsx]monthly revenue trend!PivotTable2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>
                    <a:lumMod val="50000"/>
                    <a:lumOff val="50000"/>
                  </a:schemeClr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'monthly revenue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 trend'!$B$4:$B$16</c:f>
              <c:numCache>
                <c:formatCode>General</c:formatCode>
                <c:ptCount val="12"/>
                <c:pt idx="0">
                  <c:v>455200</c:v>
                </c:pt>
                <c:pt idx="1">
                  <c:v>1048200</c:v>
                </c:pt>
                <c:pt idx="2">
                  <c:v>554000</c:v>
                </c:pt>
                <c:pt idx="3">
                  <c:v>630000</c:v>
                </c:pt>
                <c:pt idx="4">
                  <c:v>1391200</c:v>
                </c:pt>
                <c:pt idx="5">
                  <c:v>960700</c:v>
                </c:pt>
                <c:pt idx="6">
                  <c:v>630900</c:v>
                </c:pt>
                <c:pt idx="7">
                  <c:v>790000</c:v>
                </c:pt>
                <c:pt idx="8">
                  <c:v>498900</c:v>
                </c:pt>
                <c:pt idx="9">
                  <c:v>566300</c:v>
                </c:pt>
                <c:pt idx="10">
                  <c:v>512500</c:v>
                </c:pt>
                <c:pt idx="11">
                  <c:v>450800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6-4FA1-B71E-342FD863E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0931200"/>
        <c:axId val="2026376080"/>
        <c:axId val="0"/>
      </c:bar3DChart>
      <c:catAx>
        <c:axId val="19209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376080"/>
        <c:crosses val="autoZero"/>
        <c:auto val="1"/>
        <c:lblAlgn val="ctr"/>
        <c:lblOffset val="100"/>
        <c:noMultiLvlLbl val="0"/>
      </c:catAx>
      <c:valAx>
        <c:axId val="20263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3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[ecommerce_sales_500_rows.xlsx]revenue by category!PivotTable3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Revenue by Category</a:t>
            </a:r>
            <a:endParaRPr lang="en-IN" sz="1600" b="1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4775858147562289"/>
          <c:y val="5.9826087445590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category'!$A$4:$A$7</c:f>
              <c:strCache>
                <c:ptCount val="3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</c:strCache>
            </c:strRef>
          </c:cat>
          <c:val>
            <c:numRef>
              <c:f>'revenue by category'!$B$4:$B$7</c:f>
              <c:numCache>
                <c:formatCode>General</c:formatCode>
                <c:ptCount val="3"/>
                <c:pt idx="0">
                  <c:v>1616600</c:v>
                </c:pt>
                <c:pt idx="1">
                  <c:v>460100</c:v>
                </c:pt>
                <c:pt idx="2">
                  <c:v>326500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1-4C6D-9A14-6B9027216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6341440"/>
        <c:axId val="1525374256"/>
      </c:barChart>
      <c:catAx>
        <c:axId val="199634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74256"/>
        <c:crosses val="autoZero"/>
        <c:auto val="1"/>
        <c:lblAlgn val="ctr"/>
        <c:lblOffset val="100"/>
        <c:noMultiLvlLbl val="0"/>
      </c:catAx>
      <c:valAx>
        <c:axId val="152537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4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[ecommerce_sales_500_rows.xlsx]revenue by region!PivotTable4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>
                    <a:lumMod val="50000"/>
                    <a:lumOff val="50000"/>
                  </a:schemeClr>
                </a:solidFill>
              </a:rPr>
              <a:t>REVENUE BY REGION</a:t>
            </a:r>
          </a:p>
        </c:rich>
      </c:tx>
      <c:layout>
        <c:manualLayout>
          <c:xMode val="edge"/>
          <c:yMode val="edge"/>
          <c:x val="0.32913348642735801"/>
          <c:y val="4.9048455142629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region'!$A$4:$A$12</c:f>
              <c:strCache>
                <c:ptCount val="8"/>
                <c:pt idx="0">
                  <c:v>Salem</c:v>
                </c:pt>
                <c:pt idx="1">
                  <c:v>Coimbatore</c:v>
                </c:pt>
                <c:pt idx="2">
                  <c:v>Madurai</c:v>
                </c:pt>
                <c:pt idx="3">
                  <c:v>Chennai</c:v>
                </c:pt>
                <c:pt idx="4">
                  <c:v>Pondicherry</c:v>
                </c:pt>
                <c:pt idx="5">
                  <c:v>Trichy</c:v>
                </c:pt>
                <c:pt idx="6">
                  <c:v>Hyderabad</c:v>
                </c:pt>
                <c:pt idx="7">
                  <c:v>Bengaluru</c:v>
                </c:pt>
              </c:strCache>
            </c:strRef>
          </c:cat>
          <c:val>
            <c:numRef>
              <c:f>'revenue by region'!$B$4:$B$12</c:f>
              <c:numCache>
                <c:formatCode>General</c:formatCode>
                <c:ptCount val="8"/>
                <c:pt idx="0">
                  <c:v>1592200</c:v>
                </c:pt>
                <c:pt idx="1">
                  <c:v>1534500</c:v>
                </c:pt>
                <c:pt idx="2">
                  <c:v>1156600</c:v>
                </c:pt>
                <c:pt idx="3">
                  <c:v>996200</c:v>
                </c:pt>
                <c:pt idx="4">
                  <c:v>908900</c:v>
                </c:pt>
                <c:pt idx="5">
                  <c:v>903300</c:v>
                </c:pt>
                <c:pt idx="6">
                  <c:v>789200</c:v>
                </c:pt>
                <c:pt idx="7">
                  <c:v>607800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1-4519-A3AD-CF976805A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809344"/>
        <c:axId val="2026186000"/>
      </c:barChart>
      <c:catAx>
        <c:axId val="18998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86000"/>
        <c:crosses val="autoZero"/>
        <c:auto val="1"/>
        <c:lblAlgn val="ctr"/>
        <c:lblOffset val="100"/>
        <c:noMultiLvlLbl val="0"/>
      </c:catAx>
      <c:valAx>
        <c:axId val="20261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8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[ecommerce_sales_500_rows.xlsx]order by payment method!PivotTable5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>
                    <a:lumMod val="50000"/>
                    <a:lumOff val="50000"/>
                  </a:schemeClr>
                </a:solidFill>
              </a:rPr>
              <a:t>ORDERS BY PAYMENT METHOD</a:t>
            </a:r>
          </a:p>
        </c:rich>
      </c:tx>
      <c:layout>
        <c:manualLayout>
          <c:xMode val="edge"/>
          <c:yMode val="edge"/>
          <c:x val="0.23416830030085353"/>
          <c:y val="6.1486254984436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6380311919718274"/>
          <c:w val="0.70564729487853339"/>
          <c:h val="0.73619688080281731"/>
        </c:manualLayout>
      </c:layout>
      <c:pie3DChart>
        <c:varyColors val="1"/>
        <c:ser>
          <c:idx val="0"/>
          <c:order val="0"/>
          <c:tx>
            <c:strRef>
              <c:f>'order by 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604-4DFA-A9A9-AFD3A6B0B0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604-4DFA-A9A9-AFD3A6B0B0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604-4DFA-A9A9-AFD3A6B0B0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604-4DFA-A9A9-AFD3A6B0B0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604-4DFA-A9A9-AFD3A6B0B058}"/>
              </c:ext>
            </c:extLst>
          </c:dPt>
          <c:dLbls>
            <c:dLbl>
              <c:idx val="0"/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04-4DFA-A9A9-AFD3A6B0B058}"/>
                </c:ext>
              </c:extLst>
            </c:dLbl>
            <c:dLbl>
              <c:idx val="1"/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04-4DFA-A9A9-AFD3A6B0B058}"/>
                </c:ext>
              </c:extLst>
            </c:dLbl>
            <c:dLbl>
              <c:idx val="2"/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04-4DFA-A9A9-AFD3A6B0B058}"/>
                </c:ext>
              </c:extLst>
            </c:dLbl>
            <c:dLbl>
              <c:idx val="3"/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04-4DFA-A9A9-AFD3A6B0B058}"/>
                </c:ext>
              </c:extLst>
            </c:dLbl>
            <c:dLbl>
              <c:idx val="4"/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04-4DFA-A9A9-AFD3A6B0B0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 by payment method'!$A$4:$A$9</c:f>
              <c:strCache>
                <c:ptCount val="5"/>
                <c:pt idx="0">
                  <c:v>Cash on Delivery</c:v>
                </c:pt>
                <c:pt idx="1">
                  <c:v>Debit Card</c:v>
                </c:pt>
                <c:pt idx="2">
                  <c:v>Net Banking</c:v>
                </c:pt>
                <c:pt idx="3">
                  <c:v>Credit Card</c:v>
                </c:pt>
                <c:pt idx="4">
                  <c:v>UPI</c:v>
                </c:pt>
              </c:strCache>
            </c:strRef>
          </c:cat>
          <c:val>
            <c:numRef>
              <c:f>'order by payment method'!$B$4:$B$9</c:f>
              <c:numCache>
                <c:formatCode>General</c:formatCode>
                <c:ptCount val="5"/>
                <c:pt idx="0">
                  <c:v>107</c:v>
                </c:pt>
                <c:pt idx="1">
                  <c:v>103</c:v>
                </c:pt>
                <c:pt idx="2">
                  <c:v>102</c:v>
                </c:pt>
                <c:pt idx="3">
                  <c:v>101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4-4DFA-A9A9-AFD3A6B0B05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401702</xdr:colOff>
      <xdr:row>7</xdr:row>
      <xdr:rowOff>49472</xdr:rowOff>
    </xdr:from>
    <xdr:to>
      <xdr:col>4</xdr:col>
      <xdr:colOff>342122</xdr:colOff>
      <xdr:row>18</xdr:row>
      <xdr:rowOff>20897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446E6-CCDD-460E-88FE-6E49F38CC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6998</xdr:colOff>
      <xdr:row>22</xdr:row>
      <xdr:rowOff>155957</xdr:rowOff>
    </xdr:from>
    <xdr:to>
      <xdr:col>6</xdr:col>
      <xdr:colOff>1176617</xdr:colOff>
      <xdr:row>34</xdr:row>
      <xdr:rowOff>112058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702556-0C95-4CF0-88C6-67A0BB101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1211855</xdr:colOff>
      <xdr:row>7</xdr:row>
      <xdr:rowOff>21869</xdr:rowOff>
    </xdr:from>
    <xdr:to>
      <xdr:col>10</xdr:col>
      <xdr:colOff>133173</xdr:colOff>
      <xdr:row>18</xdr:row>
      <xdr:rowOff>38878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8A3604-1318-48C3-9BBF-9E7AD785D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548526</xdr:colOff>
      <xdr:row>22</xdr:row>
      <xdr:rowOff>92186</xdr:rowOff>
    </xdr:from>
    <xdr:to>
      <xdr:col>14</xdr:col>
      <xdr:colOff>158297</xdr:colOff>
      <xdr:row>34</xdr:row>
      <xdr:rowOff>1018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A712B2-BC44-4EC7-AD29-723445315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64.442902083334" createdVersion="8" refreshedVersion="8" minRefreshableVersion="3" recordCount="500" xr:uid="{93595F90-1D6B-4E70-8E30-C18AA0318295}">
  <cacheSource type="worksheet">
    <worksheetSource name="Table1"/>
  </cacheSource>
  <cacheFields count="15">
    <cacheField name="order_id" numFmtId="0">
      <sharedItems/>
    </cacheField>
    <cacheField name="customer_id" numFmtId="0">
      <sharedItems/>
    </cacheField>
    <cacheField name="customer_name" numFmtId="0">
      <sharedItems count="20">
        <s v="Harini"/>
        <s v="Arun"/>
        <s v="Swetha"/>
        <s v="Ajay"/>
        <s v="Rahul"/>
        <s v="Meena"/>
        <s v="Priya"/>
        <s v="Deepa"/>
        <s v="Anitha"/>
        <s v="Suresh"/>
        <s v="Divya"/>
        <s v="Pooja"/>
        <s v="Keerthana"/>
        <s v="Sanjay"/>
        <s v="Nisha"/>
        <s v="Kavya"/>
        <s v="Karthik"/>
        <s v="Manoj"/>
        <s v="Ravi"/>
        <s v="Vijay"/>
      </sharedItems>
    </cacheField>
    <cacheField name="product" numFmtId="0">
      <sharedItems count="18">
        <s v="Smart Watch"/>
        <s v="Headphones"/>
        <s v="T-Shirt"/>
        <s v="Shoes"/>
        <s v="Keyboard"/>
        <s v="Water Bottle"/>
        <s v="Saree"/>
        <s v="Hoodie"/>
        <s v="Cookware Set"/>
        <s v="Mobile"/>
        <s v="Coffee Maker"/>
        <s v="Laptop"/>
        <s v="Desk Lamp"/>
        <s v="Bedsheet"/>
        <s v="Backpack"/>
        <s v="Jeans"/>
        <s v="Mouse"/>
        <s v="Mixer Grinder"/>
      </sharedItems>
    </cacheField>
    <cacheField name="category" numFmtId="0">
      <sharedItems count="3">
        <s v="Electronics"/>
        <s v="Fashion"/>
        <s v="Home &amp; Kitchen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700" maxValue="55000"/>
    </cacheField>
    <cacheField name="order_date" numFmtId="14">
      <sharedItems containsSemiMixedTypes="0" containsNonDate="0" containsDate="1" containsString="0" minDate="2025-01-01T00:00:00" maxDate="2025-12-29T00:00:00" count="275">
        <d v="2025-05-21T00:00:00"/>
        <d v="2025-02-14T00:00:00"/>
        <d v="2025-04-30T00:00:00"/>
        <d v="2025-08-03T00:00:00"/>
        <d v="2025-03-23T00:00:00"/>
        <d v="2025-06-22T00:00:00"/>
        <d v="2025-06-26T00:00:00"/>
        <d v="2025-07-13T00:00:00"/>
        <d v="2025-04-09T00:00:00"/>
        <d v="2025-03-25T00:00:00"/>
        <d v="2025-11-08T00:00:00"/>
        <d v="2025-05-19T00:00:00"/>
        <d v="2025-01-17T00:00:00"/>
        <d v="2025-10-18T00:00:00"/>
        <d v="2025-03-15T00:00:00"/>
        <d v="2025-05-15T00:00:00"/>
        <d v="2025-04-23T00:00:00"/>
        <d v="2025-03-20T00:00:00"/>
        <d v="2025-07-15T00:00:00"/>
        <d v="2025-12-16T00:00:00"/>
        <d v="2025-08-11T00:00:00"/>
        <d v="2025-04-02T00:00:00"/>
        <d v="2025-04-12T00:00:00"/>
        <d v="2025-01-01T00:00:00"/>
        <d v="2025-06-07T00:00:00"/>
        <d v="2025-09-06T00:00:00"/>
        <d v="2025-03-26T00:00:00"/>
        <d v="2025-06-09T00:00:00"/>
        <d v="2025-03-03T00:00:00"/>
        <d v="2025-10-29T00:00:00"/>
        <d v="2025-02-06T00:00:00"/>
        <d v="2025-10-04T00:00:00"/>
        <d v="2025-04-08T00:00:00"/>
        <d v="2025-07-30T00:00:00"/>
        <d v="2025-06-23T00:00:00"/>
        <d v="2025-08-18T00:00:00"/>
        <d v="2025-05-08T00:00:00"/>
        <d v="2025-11-30T00:00:00"/>
        <d v="2025-07-28T00:00:00"/>
        <d v="2025-05-27T00:00:00"/>
        <d v="2025-04-22T00:00:00"/>
        <d v="2025-10-27T00:00:00"/>
        <d v="2025-04-06T00:00:00"/>
        <d v="2025-10-19T00:00:00"/>
        <d v="2025-12-03T00:00:00"/>
        <d v="2025-05-03T00:00:00"/>
        <d v="2025-06-11T00:00:00"/>
        <d v="2025-10-03T00:00:00"/>
        <d v="2025-05-06T00:00:00"/>
        <d v="2025-12-27T00:00:00"/>
        <d v="2025-03-10T00:00:00"/>
        <d v="2025-05-20T00:00:00"/>
        <d v="2025-09-16T00:00:00"/>
        <d v="2025-05-22T00:00:00"/>
        <d v="2025-03-24T00:00:00"/>
        <d v="2025-02-08T00:00:00"/>
        <d v="2025-08-09T00:00:00"/>
        <d v="2025-07-03T00:00:00"/>
        <d v="2025-01-13T00:00:00"/>
        <d v="2025-04-13T00:00:00"/>
        <d v="2025-05-23T00:00:00"/>
        <d v="2025-03-01T00:00:00"/>
        <d v="2025-02-25T00:00:00"/>
        <d v="2025-09-19T00:00:00"/>
        <d v="2025-01-23T00:00:00"/>
        <d v="2025-07-06T00:00:00"/>
        <d v="2025-06-03T00:00:00"/>
        <d v="2025-12-23T00:00:00"/>
        <d v="2025-12-13T00:00:00"/>
        <d v="2025-06-05T00:00:00"/>
        <d v="2025-08-15T00:00:00"/>
        <d v="2025-12-04T00:00:00"/>
        <d v="2025-05-01T00:00:00"/>
        <d v="2025-01-24T00:00:00"/>
        <d v="2025-08-01T00:00:00"/>
        <d v="2025-05-05T00:00:00"/>
        <d v="2025-04-01T00:00:00"/>
        <d v="2025-03-04T00:00:00"/>
        <d v="2025-11-01T00:00:00"/>
        <d v="2025-10-08T00:00:00"/>
        <d v="2025-05-07T00:00:00"/>
        <d v="2025-02-09T00:00:00"/>
        <d v="2025-12-22T00:00:00"/>
        <d v="2025-06-19T00:00:00"/>
        <d v="2025-08-04T00:00:00"/>
        <d v="2025-01-04T00:00:00"/>
        <d v="2025-10-07T00:00:00"/>
        <d v="2025-08-28T00:00:00"/>
        <d v="2025-11-26T00:00:00"/>
        <d v="2025-05-14T00:00:00"/>
        <d v="2025-08-29T00:00:00"/>
        <d v="2025-11-15T00:00:00"/>
        <d v="2025-10-16T00:00:00"/>
        <d v="2025-11-07T00:00:00"/>
        <d v="2025-01-14T00:00:00"/>
        <d v="2025-10-31T00:00:00"/>
        <d v="2025-01-22T00:00:00"/>
        <d v="2025-11-28T00:00:00"/>
        <d v="2025-08-10T00:00:00"/>
        <d v="2025-09-25T00:00:00"/>
        <d v="2025-05-18T00:00:00"/>
        <d v="2025-06-16T00:00:00"/>
        <d v="2025-06-24T00:00:00"/>
        <d v="2025-05-04T00:00:00"/>
        <d v="2025-05-31T00:00:00"/>
        <d v="2025-07-08T00:00:00"/>
        <d v="2025-06-30T00:00:00"/>
        <d v="2025-05-25T00:00:00"/>
        <d v="2025-01-07T00:00:00"/>
        <d v="2025-02-03T00:00:00"/>
        <d v="2025-03-18T00:00:00"/>
        <d v="2025-10-13T00:00:00"/>
        <d v="2025-02-20T00:00:00"/>
        <d v="2025-08-19T00:00:00"/>
        <d v="2025-12-28T00:00:00"/>
        <d v="2025-11-17T00:00:00"/>
        <d v="2025-12-19T00:00:00"/>
        <d v="2025-09-10T00:00:00"/>
        <d v="2025-06-15T00:00:00"/>
        <d v="2025-10-28T00:00:00"/>
        <d v="2025-08-12T00:00:00"/>
        <d v="2025-06-20T00:00:00"/>
        <d v="2025-08-21T00:00:00"/>
        <d v="2025-07-26T00:00:00"/>
        <d v="2025-01-28T00:00:00"/>
        <d v="2025-01-27T00:00:00"/>
        <d v="2025-08-13T00:00:00"/>
        <d v="2025-04-26T00:00:00"/>
        <d v="2025-05-30T00:00:00"/>
        <d v="2025-09-18T00:00:00"/>
        <d v="2025-09-17T00:00:00"/>
        <d v="2025-10-24T00:00:00"/>
        <d v="2025-12-24T00:00:00"/>
        <d v="2025-06-12T00:00:00"/>
        <d v="2025-01-19T00:00:00"/>
        <d v="2025-09-27T00:00:00"/>
        <d v="2025-06-18T00:00:00"/>
        <d v="2025-01-15T00:00:00"/>
        <d v="2025-07-11T00:00:00"/>
        <d v="2025-10-17T00:00:00"/>
        <d v="2025-08-25T00:00:00"/>
        <d v="2025-05-28T00:00:00"/>
        <d v="2025-10-20T00:00:00"/>
        <d v="2025-04-28T00:00:00"/>
        <d v="2025-11-18T00:00:00"/>
        <d v="2025-09-29T00:00:00"/>
        <d v="2025-06-01T00:00:00"/>
        <d v="2025-05-16T00:00:00"/>
        <d v="2025-11-22T00:00:00"/>
        <d v="2025-12-10T00:00:00"/>
        <d v="2025-12-02T00:00:00"/>
        <d v="2025-07-05T00:00:00"/>
        <d v="2025-07-23T00:00:00"/>
        <d v="2025-12-06T00:00:00"/>
        <d v="2025-03-06T00:00:00"/>
        <d v="2025-01-02T00:00:00"/>
        <d v="2025-03-31T00:00:00"/>
        <d v="2025-05-02T00:00:00"/>
        <d v="2025-11-11T00:00:00"/>
        <d v="2025-09-03T00:00:00"/>
        <d v="2025-02-07T00:00:00"/>
        <d v="2025-04-21T00:00:00"/>
        <d v="2025-06-10T00:00:00"/>
        <d v="2025-02-16T00:00:00"/>
        <d v="2025-03-08T00:00:00"/>
        <d v="2025-03-21T00:00:00"/>
        <d v="2025-10-15T00:00:00"/>
        <d v="2025-04-03T00:00:00"/>
        <d v="2025-11-02T00:00:00"/>
        <d v="2025-01-26T00:00:00"/>
        <d v="2025-02-28T00:00:00"/>
        <d v="2025-09-07T00:00:00"/>
        <d v="2025-11-03T00:00:00"/>
        <d v="2025-03-12T00:00:00"/>
        <d v="2025-09-12T00:00:00"/>
        <d v="2025-08-08T00:00:00"/>
        <d v="2025-07-27T00:00:00"/>
        <d v="2025-02-15T00:00:00"/>
        <d v="2025-07-25T00:00:00"/>
        <d v="2025-04-24T00:00:00"/>
        <d v="2025-11-05T00:00:00"/>
        <d v="2025-03-19T00:00:00"/>
        <d v="2025-09-26T00:00:00"/>
        <d v="2025-07-18T00:00:00"/>
        <d v="2025-05-10T00:00:00"/>
        <d v="2025-06-08T00:00:00"/>
        <d v="2025-10-14T00:00:00"/>
        <d v="2025-11-27T00:00:00"/>
        <d v="2025-07-12T00:00:00"/>
        <d v="2025-05-26T00:00:00"/>
        <d v="2025-02-22T00:00:00"/>
        <d v="2025-09-15T00:00:00"/>
        <d v="2025-04-25T00:00:00"/>
        <d v="2025-06-04T00:00:00"/>
        <d v="2025-08-23T00:00:00"/>
        <d v="2025-11-20T00:00:00"/>
        <d v="2025-12-07T00:00:00"/>
        <d v="2025-02-04T00:00:00"/>
        <d v="2025-07-17T00:00:00"/>
        <d v="2025-09-23T00:00:00"/>
        <d v="2025-06-17T00:00:00"/>
        <d v="2025-12-20T00:00:00"/>
        <d v="2025-12-14T00:00:00"/>
        <d v="2025-10-21T00:00:00"/>
        <d v="2025-04-20T00:00:00"/>
        <d v="2025-12-08T00:00:00"/>
        <d v="2025-07-04T00:00:00"/>
        <d v="2025-11-10T00:00:00"/>
        <d v="2025-03-07T00:00:00"/>
        <d v="2025-01-29T00:00:00"/>
        <d v="2025-05-09T00:00:00"/>
        <d v="2025-10-01T00:00:00"/>
        <d v="2025-11-25T00:00:00"/>
        <d v="2025-11-24T00:00:00"/>
        <d v="2025-09-05T00:00:00"/>
        <d v="2025-08-26T00:00:00"/>
        <d v="2025-06-13T00:00:00"/>
        <d v="2025-05-17T00:00:00"/>
        <d v="2025-05-29T00:00:00"/>
        <d v="2025-10-23T00:00:00"/>
        <d v="2025-07-21T00:00:00"/>
        <d v="2025-12-01T00:00:00"/>
        <d v="2025-02-19T00:00:00"/>
        <d v="2025-01-20T00:00:00"/>
        <d v="2025-09-08T00:00:00"/>
        <d v="2025-10-26T00:00:00"/>
        <d v="2025-12-15T00:00:00"/>
        <d v="2025-01-10T00:00:00"/>
        <d v="2025-06-25T00:00:00"/>
        <d v="2025-07-22T00:00:00"/>
        <d v="2025-02-10T00:00:00"/>
        <d v="2025-04-14T00:00:00"/>
        <d v="2025-11-23T00:00:00"/>
        <d v="2025-08-30T00:00:00"/>
        <d v="2025-09-11T00:00:00"/>
        <d v="2025-11-09T00:00:00"/>
        <d v="2025-12-26T00:00:00"/>
        <d v="2025-01-12T00:00:00"/>
        <d v="2025-01-31T00:00:00"/>
        <d v="2025-03-02T00:00:00"/>
        <d v="2025-09-30T00:00:00"/>
        <d v="2025-10-30T00:00:00"/>
        <d v="2025-07-31T00:00:00"/>
        <d v="2025-04-15T00:00:00"/>
        <d v="2025-10-02T00:00:00"/>
        <d v="2025-07-09T00:00:00"/>
        <d v="2025-01-09T00:00:00"/>
        <d v="2025-10-09T00:00:00"/>
        <d v="2025-03-28T00:00:00"/>
        <d v="2025-04-05T00:00:00"/>
        <d v="2025-12-09T00:00:00"/>
        <d v="2025-02-12T00:00:00"/>
        <d v="2025-07-19T00:00:00"/>
        <d v="2025-09-14T00:00:00"/>
        <d v="2025-09-20T00:00:00"/>
        <d v="2025-10-11T00:00:00"/>
        <d v="2025-09-24T00:00:00"/>
        <d v="2025-02-24T00:00:00"/>
        <d v="2025-11-14T00:00:00"/>
        <d v="2025-10-22T00:00:00"/>
        <d v="2025-10-06T00:00:00"/>
        <d v="2025-10-25T00:00:00"/>
        <d v="2025-02-23T00:00:00"/>
        <d v="2025-06-28T00:00:00"/>
        <d v="2025-10-10T00:00:00"/>
        <d v="2025-04-29T00:00:00"/>
        <d v="2025-01-03T00:00:00"/>
        <d v="2025-07-16T00:00:00"/>
        <d v="2025-10-12T00:00:00"/>
        <d v="2025-03-11T00:00:00"/>
        <d v="2025-07-29T00:00:00"/>
        <d v="2025-08-06T00:00:00"/>
        <d v="2025-04-18T00:00:00"/>
        <d v="2025-04-16T00:00:00"/>
        <d v="2025-02-17T00:00:00"/>
      </sharedItems>
      <fieldGroup par="14"/>
    </cacheField>
    <cacheField name="region" numFmtId="0">
      <sharedItems count="8">
        <s v="Coimbatore"/>
        <s v="Chennai"/>
        <s v="Pondicherry"/>
        <s v="Trichy"/>
        <s v="Bengaluru"/>
        <s v="Madurai"/>
        <s v="Salem"/>
        <s v="Hyderabad"/>
      </sharedItems>
    </cacheField>
    <cacheField name="payment_method" numFmtId="0">
      <sharedItems count="5">
        <s v="Credit Card"/>
        <s v="UPI"/>
        <s v="Net Banking"/>
        <s v="Debit Card"/>
        <s v="Cash on Delivery"/>
      </sharedItems>
    </cacheField>
    <cacheField name="cost" numFmtId="0">
      <sharedItems containsSemiMixedTypes="0" containsString="0" containsNumber="1" containsInteger="1" minValue="350" maxValue="42000"/>
    </cacheField>
    <cacheField name="revenue" numFmtId="0">
      <sharedItems containsSemiMixedTypes="0" containsString="0" containsNumber="1" containsInteger="1" minValue="700" maxValue="275000"/>
    </cacheField>
    <cacheField name="profit" numFmtId="0">
      <sharedItems containsSemiMixedTypes="0" containsString="0" containsNumber="1" containsInteger="1" minValue="350" maxValue="65000"/>
    </cacheField>
    <cacheField name="Days (order_date)" numFmtId="0" databaseField="0">
      <fieldGroup base="7">
        <rangePr groupBy="days" startDate="2025-01-01T00:00:00" endDate="2025-12-29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5"/>
        </groupItems>
      </fieldGroup>
    </cacheField>
    <cacheField name="Months (order_date)" numFmtId="0" databaseField="0">
      <fieldGroup base="7">
        <rangePr groupBy="months" startDate="2025-01-01T00:00:00" endDate="2025-12-29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0001"/>
    <s v="C063"/>
    <x v="0"/>
    <x v="0"/>
    <x v="0"/>
    <n v="1"/>
    <n v="5000"/>
    <x v="0"/>
    <x v="0"/>
    <x v="0"/>
    <n v="3200"/>
    <n v="5000"/>
    <n v="1800"/>
  </r>
  <r>
    <s v="O0002"/>
    <s v="C109"/>
    <x v="1"/>
    <x v="0"/>
    <x v="0"/>
    <n v="5"/>
    <n v="5000"/>
    <x v="1"/>
    <x v="1"/>
    <x v="1"/>
    <n v="3200"/>
    <n v="25000"/>
    <n v="9000"/>
  </r>
  <r>
    <s v="O0003"/>
    <s v="C130"/>
    <x v="2"/>
    <x v="1"/>
    <x v="0"/>
    <n v="2"/>
    <n v="2500"/>
    <x v="2"/>
    <x v="1"/>
    <x v="2"/>
    <n v="1500"/>
    <n v="5000"/>
    <n v="2000"/>
  </r>
  <r>
    <s v="O0004"/>
    <s v="C057"/>
    <x v="3"/>
    <x v="2"/>
    <x v="1"/>
    <n v="5"/>
    <n v="800"/>
    <x v="3"/>
    <x v="2"/>
    <x v="2"/>
    <n v="450"/>
    <n v="4000"/>
    <n v="1750"/>
  </r>
  <r>
    <s v="O0005"/>
    <s v="C109"/>
    <x v="1"/>
    <x v="3"/>
    <x v="1"/>
    <n v="1"/>
    <n v="3000"/>
    <x v="4"/>
    <x v="3"/>
    <x v="3"/>
    <n v="1900"/>
    <n v="3000"/>
    <n v="1100"/>
  </r>
  <r>
    <s v="O0006"/>
    <s v="C027"/>
    <x v="4"/>
    <x v="4"/>
    <x v="0"/>
    <n v="2"/>
    <n v="1800"/>
    <x v="5"/>
    <x v="4"/>
    <x v="4"/>
    <n v="1100"/>
    <n v="3600"/>
    <n v="1400"/>
  </r>
  <r>
    <s v="O0007"/>
    <s v="C068"/>
    <x v="5"/>
    <x v="0"/>
    <x v="0"/>
    <n v="3"/>
    <n v="5000"/>
    <x v="6"/>
    <x v="1"/>
    <x v="4"/>
    <n v="3200"/>
    <n v="15000"/>
    <n v="5400"/>
  </r>
  <r>
    <s v="O0008"/>
    <s v="C021"/>
    <x v="6"/>
    <x v="5"/>
    <x v="2"/>
    <n v="1"/>
    <n v="700"/>
    <x v="7"/>
    <x v="5"/>
    <x v="2"/>
    <n v="350"/>
    <n v="700"/>
    <n v="350"/>
  </r>
  <r>
    <s v="O0009"/>
    <s v="C018"/>
    <x v="7"/>
    <x v="6"/>
    <x v="1"/>
    <n v="5"/>
    <n v="2500"/>
    <x v="8"/>
    <x v="1"/>
    <x v="0"/>
    <n v="1600"/>
    <n v="12500"/>
    <n v="4500"/>
  </r>
  <r>
    <s v="O0010"/>
    <s v="C026"/>
    <x v="8"/>
    <x v="7"/>
    <x v="1"/>
    <n v="1"/>
    <n v="2200"/>
    <x v="2"/>
    <x v="6"/>
    <x v="3"/>
    <n v="1400"/>
    <n v="2200"/>
    <n v="800"/>
  </r>
  <r>
    <s v="O0011"/>
    <s v="C095"/>
    <x v="9"/>
    <x v="8"/>
    <x v="2"/>
    <n v="3"/>
    <n v="2800"/>
    <x v="9"/>
    <x v="3"/>
    <x v="0"/>
    <n v="1800"/>
    <n v="8400"/>
    <n v="3000"/>
  </r>
  <r>
    <s v="O0012"/>
    <s v="C044"/>
    <x v="10"/>
    <x v="3"/>
    <x v="1"/>
    <n v="1"/>
    <n v="3000"/>
    <x v="10"/>
    <x v="0"/>
    <x v="0"/>
    <n v="1900"/>
    <n v="3000"/>
    <n v="1100"/>
  </r>
  <r>
    <s v="O0013"/>
    <s v="C143"/>
    <x v="0"/>
    <x v="8"/>
    <x v="2"/>
    <n v="4"/>
    <n v="2800"/>
    <x v="11"/>
    <x v="0"/>
    <x v="3"/>
    <n v="1800"/>
    <n v="11200"/>
    <n v="4000"/>
  </r>
  <r>
    <s v="O0014"/>
    <s v="C081"/>
    <x v="6"/>
    <x v="9"/>
    <x v="0"/>
    <n v="2"/>
    <n v="22000"/>
    <x v="12"/>
    <x v="6"/>
    <x v="3"/>
    <n v="17000"/>
    <n v="44000"/>
    <n v="10000"/>
  </r>
  <r>
    <s v="O0015"/>
    <s v="C081"/>
    <x v="6"/>
    <x v="1"/>
    <x v="0"/>
    <n v="2"/>
    <n v="2500"/>
    <x v="13"/>
    <x v="0"/>
    <x v="4"/>
    <n v="1500"/>
    <n v="5000"/>
    <n v="2000"/>
  </r>
  <r>
    <s v="O0016"/>
    <s v="C068"/>
    <x v="5"/>
    <x v="10"/>
    <x v="2"/>
    <n v="4"/>
    <n v="4500"/>
    <x v="14"/>
    <x v="7"/>
    <x v="0"/>
    <n v="2900"/>
    <n v="18000"/>
    <n v="6400"/>
  </r>
  <r>
    <s v="O0017"/>
    <s v="C150"/>
    <x v="2"/>
    <x v="5"/>
    <x v="2"/>
    <n v="5"/>
    <n v="700"/>
    <x v="15"/>
    <x v="6"/>
    <x v="2"/>
    <n v="350"/>
    <n v="3500"/>
    <n v="1750"/>
  </r>
  <r>
    <s v="O0018"/>
    <s v="C036"/>
    <x v="11"/>
    <x v="10"/>
    <x v="2"/>
    <n v="3"/>
    <n v="4500"/>
    <x v="16"/>
    <x v="2"/>
    <x v="1"/>
    <n v="2900"/>
    <n v="13500"/>
    <n v="4800"/>
  </r>
  <r>
    <s v="O0019"/>
    <s v="C041"/>
    <x v="6"/>
    <x v="9"/>
    <x v="0"/>
    <n v="1"/>
    <n v="22000"/>
    <x v="17"/>
    <x v="6"/>
    <x v="2"/>
    <n v="17000"/>
    <n v="22000"/>
    <n v="5000"/>
  </r>
  <r>
    <s v="O0020"/>
    <s v="C120"/>
    <x v="12"/>
    <x v="1"/>
    <x v="0"/>
    <n v="4"/>
    <n v="2500"/>
    <x v="18"/>
    <x v="5"/>
    <x v="2"/>
    <n v="1500"/>
    <n v="10000"/>
    <n v="4000"/>
  </r>
  <r>
    <s v="O0021"/>
    <s v="C138"/>
    <x v="7"/>
    <x v="11"/>
    <x v="0"/>
    <n v="1"/>
    <n v="55000"/>
    <x v="19"/>
    <x v="5"/>
    <x v="3"/>
    <n v="42000"/>
    <n v="55000"/>
    <n v="13000"/>
  </r>
  <r>
    <s v="O0022"/>
    <s v="C041"/>
    <x v="6"/>
    <x v="0"/>
    <x v="0"/>
    <n v="3"/>
    <n v="5000"/>
    <x v="20"/>
    <x v="2"/>
    <x v="1"/>
    <n v="3200"/>
    <n v="15000"/>
    <n v="5400"/>
  </r>
  <r>
    <s v="O0023"/>
    <s v="C130"/>
    <x v="2"/>
    <x v="3"/>
    <x v="1"/>
    <n v="5"/>
    <n v="3000"/>
    <x v="21"/>
    <x v="4"/>
    <x v="3"/>
    <n v="1900"/>
    <n v="15000"/>
    <n v="5500"/>
  </r>
  <r>
    <s v="O0024"/>
    <s v="C040"/>
    <x v="12"/>
    <x v="12"/>
    <x v="2"/>
    <n v="5"/>
    <n v="1000"/>
    <x v="22"/>
    <x v="3"/>
    <x v="0"/>
    <n v="600"/>
    <n v="5000"/>
    <n v="2000"/>
  </r>
  <r>
    <s v="O0025"/>
    <s v="C083"/>
    <x v="0"/>
    <x v="5"/>
    <x v="2"/>
    <n v="5"/>
    <n v="700"/>
    <x v="23"/>
    <x v="2"/>
    <x v="1"/>
    <n v="350"/>
    <n v="3500"/>
    <n v="1750"/>
  </r>
  <r>
    <s v="O0026"/>
    <s v="C062"/>
    <x v="13"/>
    <x v="0"/>
    <x v="0"/>
    <n v="3"/>
    <n v="5000"/>
    <x v="24"/>
    <x v="1"/>
    <x v="0"/>
    <n v="3200"/>
    <n v="15000"/>
    <n v="5400"/>
  </r>
  <r>
    <s v="O0027"/>
    <s v="C018"/>
    <x v="7"/>
    <x v="1"/>
    <x v="0"/>
    <n v="1"/>
    <n v="2500"/>
    <x v="25"/>
    <x v="7"/>
    <x v="0"/>
    <n v="1500"/>
    <n v="2500"/>
    <n v="1000"/>
  </r>
  <r>
    <s v="O0028"/>
    <s v="C068"/>
    <x v="5"/>
    <x v="13"/>
    <x v="2"/>
    <n v="5"/>
    <n v="1200"/>
    <x v="26"/>
    <x v="6"/>
    <x v="0"/>
    <n v="700"/>
    <n v="6000"/>
    <n v="2500"/>
  </r>
  <r>
    <s v="O0029"/>
    <s v="C103"/>
    <x v="0"/>
    <x v="5"/>
    <x v="2"/>
    <n v="2"/>
    <n v="700"/>
    <x v="27"/>
    <x v="3"/>
    <x v="4"/>
    <n v="350"/>
    <n v="1400"/>
    <n v="700"/>
  </r>
  <r>
    <s v="O0030"/>
    <s v="C064"/>
    <x v="10"/>
    <x v="12"/>
    <x v="2"/>
    <n v="4"/>
    <n v="1000"/>
    <x v="28"/>
    <x v="0"/>
    <x v="1"/>
    <n v="600"/>
    <n v="4000"/>
    <n v="1600"/>
  </r>
  <r>
    <s v="O0031"/>
    <s v="C142"/>
    <x v="13"/>
    <x v="14"/>
    <x v="1"/>
    <n v="1"/>
    <n v="1500"/>
    <x v="29"/>
    <x v="0"/>
    <x v="2"/>
    <n v="900"/>
    <n v="1500"/>
    <n v="600"/>
  </r>
  <r>
    <s v="O0032"/>
    <s v="C016"/>
    <x v="11"/>
    <x v="15"/>
    <x v="1"/>
    <n v="1"/>
    <n v="1800"/>
    <x v="30"/>
    <x v="0"/>
    <x v="1"/>
    <n v="1100"/>
    <n v="1800"/>
    <n v="700"/>
  </r>
  <r>
    <s v="O0033"/>
    <s v="C132"/>
    <x v="14"/>
    <x v="9"/>
    <x v="0"/>
    <n v="3"/>
    <n v="22000"/>
    <x v="30"/>
    <x v="0"/>
    <x v="3"/>
    <n v="17000"/>
    <n v="66000"/>
    <n v="15000"/>
  </r>
  <r>
    <s v="O0034"/>
    <s v="C034"/>
    <x v="15"/>
    <x v="13"/>
    <x v="2"/>
    <n v="2"/>
    <n v="1200"/>
    <x v="31"/>
    <x v="2"/>
    <x v="0"/>
    <n v="700"/>
    <n v="2400"/>
    <n v="1000"/>
  </r>
  <r>
    <s v="O0035"/>
    <s v="C025"/>
    <x v="16"/>
    <x v="13"/>
    <x v="2"/>
    <n v="4"/>
    <n v="1200"/>
    <x v="32"/>
    <x v="4"/>
    <x v="4"/>
    <n v="700"/>
    <n v="4800"/>
    <n v="2000"/>
  </r>
  <r>
    <s v="O0036"/>
    <s v="C120"/>
    <x v="12"/>
    <x v="6"/>
    <x v="1"/>
    <n v="4"/>
    <n v="2500"/>
    <x v="33"/>
    <x v="1"/>
    <x v="1"/>
    <n v="1600"/>
    <n v="10000"/>
    <n v="3600"/>
  </r>
  <r>
    <s v="O0037"/>
    <s v="C028"/>
    <x v="5"/>
    <x v="9"/>
    <x v="0"/>
    <n v="4"/>
    <n v="22000"/>
    <x v="34"/>
    <x v="0"/>
    <x v="0"/>
    <n v="17000"/>
    <n v="88000"/>
    <n v="20000"/>
  </r>
  <r>
    <s v="O0038"/>
    <s v="C036"/>
    <x v="11"/>
    <x v="2"/>
    <x v="1"/>
    <n v="5"/>
    <n v="800"/>
    <x v="35"/>
    <x v="6"/>
    <x v="0"/>
    <n v="450"/>
    <n v="4000"/>
    <n v="1750"/>
  </r>
  <r>
    <s v="O0039"/>
    <s v="C020"/>
    <x v="12"/>
    <x v="3"/>
    <x v="1"/>
    <n v="4"/>
    <n v="3000"/>
    <x v="36"/>
    <x v="2"/>
    <x v="2"/>
    <n v="1900"/>
    <n v="12000"/>
    <n v="4400"/>
  </r>
  <r>
    <s v="O0040"/>
    <s v="C139"/>
    <x v="17"/>
    <x v="0"/>
    <x v="0"/>
    <n v="1"/>
    <n v="5000"/>
    <x v="37"/>
    <x v="1"/>
    <x v="1"/>
    <n v="3200"/>
    <n v="5000"/>
    <n v="1800"/>
  </r>
  <r>
    <s v="O0041"/>
    <s v="C125"/>
    <x v="16"/>
    <x v="15"/>
    <x v="1"/>
    <n v="2"/>
    <n v="1800"/>
    <x v="38"/>
    <x v="2"/>
    <x v="0"/>
    <n v="1100"/>
    <n v="3600"/>
    <n v="1400"/>
  </r>
  <r>
    <s v="O0042"/>
    <s v="C098"/>
    <x v="7"/>
    <x v="10"/>
    <x v="2"/>
    <n v="1"/>
    <n v="4500"/>
    <x v="26"/>
    <x v="1"/>
    <x v="4"/>
    <n v="2900"/>
    <n v="4500"/>
    <n v="1600"/>
  </r>
  <r>
    <s v="O0043"/>
    <s v="C109"/>
    <x v="1"/>
    <x v="3"/>
    <x v="1"/>
    <n v="4"/>
    <n v="3000"/>
    <x v="39"/>
    <x v="2"/>
    <x v="0"/>
    <n v="1900"/>
    <n v="12000"/>
    <n v="4400"/>
  </r>
  <r>
    <s v="O0044"/>
    <s v="C015"/>
    <x v="9"/>
    <x v="2"/>
    <x v="1"/>
    <n v="3"/>
    <n v="800"/>
    <x v="40"/>
    <x v="1"/>
    <x v="3"/>
    <n v="450"/>
    <n v="2400"/>
    <n v="1050"/>
  </r>
  <r>
    <s v="O0045"/>
    <s v="C123"/>
    <x v="0"/>
    <x v="9"/>
    <x v="0"/>
    <n v="1"/>
    <n v="22000"/>
    <x v="41"/>
    <x v="7"/>
    <x v="1"/>
    <n v="17000"/>
    <n v="22000"/>
    <n v="5000"/>
  </r>
  <r>
    <s v="O0046"/>
    <s v="C018"/>
    <x v="7"/>
    <x v="12"/>
    <x v="2"/>
    <n v="1"/>
    <n v="1000"/>
    <x v="42"/>
    <x v="4"/>
    <x v="0"/>
    <n v="600"/>
    <n v="1000"/>
    <n v="400"/>
  </r>
  <r>
    <s v="O0047"/>
    <s v="C064"/>
    <x v="10"/>
    <x v="10"/>
    <x v="2"/>
    <n v="1"/>
    <n v="4500"/>
    <x v="43"/>
    <x v="1"/>
    <x v="2"/>
    <n v="2900"/>
    <n v="4500"/>
    <n v="1600"/>
  </r>
  <r>
    <s v="O0048"/>
    <s v="C150"/>
    <x v="2"/>
    <x v="1"/>
    <x v="0"/>
    <n v="4"/>
    <n v="2500"/>
    <x v="44"/>
    <x v="3"/>
    <x v="3"/>
    <n v="1500"/>
    <n v="10000"/>
    <n v="4000"/>
  </r>
  <r>
    <s v="O0049"/>
    <s v="C068"/>
    <x v="5"/>
    <x v="2"/>
    <x v="1"/>
    <n v="3"/>
    <n v="800"/>
    <x v="45"/>
    <x v="6"/>
    <x v="0"/>
    <n v="450"/>
    <n v="2400"/>
    <n v="1050"/>
  </r>
  <r>
    <s v="O0050"/>
    <s v="C019"/>
    <x v="17"/>
    <x v="7"/>
    <x v="1"/>
    <n v="4"/>
    <n v="2200"/>
    <x v="46"/>
    <x v="1"/>
    <x v="4"/>
    <n v="1400"/>
    <n v="8800"/>
    <n v="3200"/>
  </r>
  <r>
    <s v="O0051"/>
    <s v="C055"/>
    <x v="9"/>
    <x v="0"/>
    <x v="0"/>
    <n v="1"/>
    <n v="5000"/>
    <x v="47"/>
    <x v="5"/>
    <x v="0"/>
    <n v="3200"/>
    <n v="5000"/>
    <n v="1800"/>
  </r>
  <r>
    <s v="O0052"/>
    <s v="C095"/>
    <x v="9"/>
    <x v="6"/>
    <x v="1"/>
    <n v="1"/>
    <n v="2500"/>
    <x v="48"/>
    <x v="5"/>
    <x v="0"/>
    <n v="1600"/>
    <n v="2500"/>
    <n v="900"/>
  </r>
  <r>
    <s v="O0053"/>
    <s v="C078"/>
    <x v="7"/>
    <x v="8"/>
    <x v="2"/>
    <n v="5"/>
    <n v="2800"/>
    <x v="49"/>
    <x v="1"/>
    <x v="2"/>
    <n v="1800"/>
    <n v="14000"/>
    <n v="5000"/>
  </r>
  <r>
    <s v="O0054"/>
    <s v="C068"/>
    <x v="5"/>
    <x v="7"/>
    <x v="1"/>
    <n v="1"/>
    <n v="2200"/>
    <x v="50"/>
    <x v="4"/>
    <x v="1"/>
    <n v="1400"/>
    <n v="2200"/>
    <n v="800"/>
  </r>
  <r>
    <s v="O0055"/>
    <s v="C073"/>
    <x v="18"/>
    <x v="5"/>
    <x v="2"/>
    <n v="2"/>
    <n v="700"/>
    <x v="51"/>
    <x v="0"/>
    <x v="3"/>
    <n v="350"/>
    <n v="1400"/>
    <n v="700"/>
  </r>
  <r>
    <s v="O0056"/>
    <s v="C126"/>
    <x v="8"/>
    <x v="2"/>
    <x v="1"/>
    <n v="3"/>
    <n v="800"/>
    <x v="52"/>
    <x v="5"/>
    <x v="1"/>
    <n v="450"/>
    <n v="2400"/>
    <n v="1050"/>
  </r>
  <r>
    <s v="O0057"/>
    <s v="C012"/>
    <x v="14"/>
    <x v="1"/>
    <x v="0"/>
    <n v="4"/>
    <n v="2500"/>
    <x v="53"/>
    <x v="1"/>
    <x v="3"/>
    <n v="1500"/>
    <n v="10000"/>
    <n v="4000"/>
  </r>
  <r>
    <s v="O0058"/>
    <s v="C114"/>
    <x v="15"/>
    <x v="4"/>
    <x v="0"/>
    <n v="3"/>
    <n v="1800"/>
    <x v="54"/>
    <x v="6"/>
    <x v="2"/>
    <n v="1100"/>
    <n v="5400"/>
    <n v="2100"/>
  </r>
  <r>
    <s v="O0059"/>
    <s v="C039"/>
    <x v="17"/>
    <x v="11"/>
    <x v="0"/>
    <n v="1"/>
    <n v="55000"/>
    <x v="55"/>
    <x v="1"/>
    <x v="3"/>
    <n v="42000"/>
    <n v="55000"/>
    <n v="13000"/>
  </r>
  <r>
    <s v="O0060"/>
    <s v="C033"/>
    <x v="18"/>
    <x v="5"/>
    <x v="2"/>
    <n v="2"/>
    <n v="700"/>
    <x v="56"/>
    <x v="1"/>
    <x v="3"/>
    <n v="350"/>
    <n v="1400"/>
    <n v="700"/>
  </r>
  <r>
    <s v="O0061"/>
    <s v="C054"/>
    <x v="15"/>
    <x v="6"/>
    <x v="1"/>
    <n v="1"/>
    <n v="2500"/>
    <x v="57"/>
    <x v="0"/>
    <x v="1"/>
    <n v="1600"/>
    <n v="2500"/>
    <n v="900"/>
  </r>
  <r>
    <s v="O0062"/>
    <s v="C040"/>
    <x v="12"/>
    <x v="6"/>
    <x v="1"/>
    <n v="5"/>
    <n v="2500"/>
    <x v="38"/>
    <x v="0"/>
    <x v="0"/>
    <n v="1600"/>
    <n v="12500"/>
    <n v="4500"/>
  </r>
  <r>
    <s v="O0063"/>
    <s v="C046"/>
    <x v="8"/>
    <x v="16"/>
    <x v="0"/>
    <n v="4"/>
    <n v="900"/>
    <x v="58"/>
    <x v="3"/>
    <x v="4"/>
    <n v="500"/>
    <n v="3600"/>
    <n v="1600"/>
  </r>
  <r>
    <s v="O0064"/>
    <s v="C028"/>
    <x v="5"/>
    <x v="15"/>
    <x v="1"/>
    <n v="3"/>
    <n v="1800"/>
    <x v="4"/>
    <x v="6"/>
    <x v="1"/>
    <n v="1100"/>
    <n v="5400"/>
    <n v="2100"/>
  </r>
  <r>
    <s v="O0065"/>
    <s v="C118"/>
    <x v="7"/>
    <x v="13"/>
    <x v="2"/>
    <n v="2"/>
    <n v="1200"/>
    <x v="59"/>
    <x v="3"/>
    <x v="3"/>
    <n v="700"/>
    <n v="2400"/>
    <n v="1000"/>
  </r>
  <r>
    <s v="O0066"/>
    <s v="C050"/>
    <x v="2"/>
    <x v="15"/>
    <x v="1"/>
    <n v="2"/>
    <n v="1800"/>
    <x v="58"/>
    <x v="6"/>
    <x v="3"/>
    <n v="1100"/>
    <n v="3600"/>
    <n v="1400"/>
  </r>
  <r>
    <s v="O0067"/>
    <s v="C090"/>
    <x v="2"/>
    <x v="3"/>
    <x v="1"/>
    <n v="1"/>
    <n v="3000"/>
    <x v="60"/>
    <x v="6"/>
    <x v="2"/>
    <n v="1900"/>
    <n v="3000"/>
    <n v="1100"/>
  </r>
  <r>
    <s v="O0068"/>
    <s v="C067"/>
    <x v="4"/>
    <x v="14"/>
    <x v="1"/>
    <n v="1"/>
    <n v="1500"/>
    <x v="61"/>
    <x v="7"/>
    <x v="2"/>
    <n v="900"/>
    <n v="1500"/>
    <n v="600"/>
  </r>
  <r>
    <s v="O0069"/>
    <s v="C112"/>
    <x v="14"/>
    <x v="3"/>
    <x v="1"/>
    <n v="1"/>
    <n v="3000"/>
    <x v="62"/>
    <x v="3"/>
    <x v="3"/>
    <n v="1900"/>
    <n v="3000"/>
    <n v="1100"/>
  </r>
  <r>
    <s v="O0070"/>
    <s v="C030"/>
    <x v="2"/>
    <x v="17"/>
    <x v="2"/>
    <n v="5"/>
    <n v="3500"/>
    <x v="63"/>
    <x v="6"/>
    <x v="2"/>
    <n v="2300"/>
    <n v="17500"/>
    <n v="6000"/>
  </r>
  <r>
    <s v="O0071"/>
    <s v="C112"/>
    <x v="14"/>
    <x v="2"/>
    <x v="1"/>
    <n v="3"/>
    <n v="800"/>
    <x v="64"/>
    <x v="1"/>
    <x v="2"/>
    <n v="450"/>
    <n v="2400"/>
    <n v="1050"/>
  </r>
  <r>
    <s v="O0072"/>
    <s v="C111"/>
    <x v="19"/>
    <x v="5"/>
    <x v="2"/>
    <n v="2"/>
    <n v="700"/>
    <x v="65"/>
    <x v="4"/>
    <x v="3"/>
    <n v="350"/>
    <n v="1400"/>
    <n v="700"/>
  </r>
  <r>
    <s v="O0073"/>
    <s v="C130"/>
    <x v="2"/>
    <x v="14"/>
    <x v="1"/>
    <n v="1"/>
    <n v="1500"/>
    <x v="66"/>
    <x v="5"/>
    <x v="4"/>
    <n v="900"/>
    <n v="1500"/>
    <n v="600"/>
  </r>
  <r>
    <s v="O0074"/>
    <s v="C076"/>
    <x v="11"/>
    <x v="14"/>
    <x v="1"/>
    <n v="4"/>
    <n v="1500"/>
    <x v="67"/>
    <x v="7"/>
    <x v="0"/>
    <n v="900"/>
    <n v="6000"/>
    <n v="2400"/>
  </r>
  <r>
    <s v="O0075"/>
    <s v="C045"/>
    <x v="16"/>
    <x v="17"/>
    <x v="2"/>
    <n v="4"/>
    <n v="3500"/>
    <x v="68"/>
    <x v="5"/>
    <x v="4"/>
    <n v="2300"/>
    <n v="14000"/>
    <n v="4800"/>
  </r>
  <r>
    <s v="O0076"/>
    <s v="C074"/>
    <x v="15"/>
    <x v="5"/>
    <x v="2"/>
    <n v="1"/>
    <n v="700"/>
    <x v="69"/>
    <x v="0"/>
    <x v="4"/>
    <n v="350"/>
    <n v="700"/>
    <n v="350"/>
  </r>
  <r>
    <s v="O0077"/>
    <s v="C114"/>
    <x v="15"/>
    <x v="14"/>
    <x v="1"/>
    <n v="4"/>
    <n v="1500"/>
    <x v="70"/>
    <x v="0"/>
    <x v="2"/>
    <n v="900"/>
    <n v="6000"/>
    <n v="2400"/>
  </r>
  <r>
    <s v="O0078"/>
    <s v="C022"/>
    <x v="13"/>
    <x v="13"/>
    <x v="2"/>
    <n v="2"/>
    <n v="1200"/>
    <x v="71"/>
    <x v="5"/>
    <x v="2"/>
    <n v="700"/>
    <n v="2400"/>
    <n v="1000"/>
  </r>
  <r>
    <s v="O0079"/>
    <s v="C080"/>
    <x v="12"/>
    <x v="14"/>
    <x v="1"/>
    <n v="1"/>
    <n v="1500"/>
    <x v="72"/>
    <x v="0"/>
    <x v="0"/>
    <n v="900"/>
    <n v="1500"/>
    <n v="600"/>
  </r>
  <r>
    <s v="O0080"/>
    <s v="C063"/>
    <x v="0"/>
    <x v="4"/>
    <x v="0"/>
    <n v="1"/>
    <n v="1800"/>
    <x v="73"/>
    <x v="2"/>
    <x v="2"/>
    <n v="1100"/>
    <n v="1800"/>
    <n v="700"/>
  </r>
  <r>
    <s v="O0081"/>
    <s v="C148"/>
    <x v="5"/>
    <x v="1"/>
    <x v="0"/>
    <n v="4"/>
    <n v="2500"/>
    <x v="74"/>
    <x v="0"/>
    <x v="4"/>
    <n v="1500"/>
    <n v="10000"/>
    <n v="4000"/>
  </r>
  <r>
    <s v="O0082"/>
    <s v="C038"/>
    <x v="7"/>
    <x v="13"/>
    <x v="2"/>
    <n v="4"/>
    <n v="1200"/>
    <x v="75"/>
    <x v="1"/>
    <x v="1"/>
    <n v="700"/>
    <n v="4800"/>
    <n v="2000"/>
  </r>
  <r>
    <s v="O0083"/>
    <s v="C133"/>
    <x v="18"/>
    <x v="17"/>
    <x v="2"/>
    <n v="2"/>
    <n v="3500"/>
    <x v="76"/>
    <x v="2"/>
    <x v="1"/>
    <n v="2300"/>
    <n v="7000"/>
    <n v="2400"/>
  </r>
  <r>
    <s v="O0084"/>
    <s v="C117"/>
    <x v="3"/>
    <x v="5"/>
    <x v="2"/>
    <n v="2"/>
    <n v="700"/>
    <x v="77"/>
    <x v="7"/>
    <x v="4"/>
    <n v="350"/>
    <n v="1400"/>
    <n v="700"/>
  </r>
  <r>
    <s v="O0085"/>
    <s v="C082"/>
    <x v="13"/>
    <x v="12"/>
    <x v="2"/>
    <n v="5"/>
    <n v="1000"/>
    <x v="78"/>
    <x v="2"/>
    <x v="2"/>
    <n v="600"/>
    <n v="5000"/>
    <n v="2000"/>
  </r>
  <r>
    <s v="O0086"/>
    <s v="C115"/>
    <x v="9"/>
    <x v="12"/>
    <x v="2"/>
    <n v="4"/>
    <n v="1000"/>
    <x v="79"/>
    <x v="7"/>
    <x v="4"/>
    <n v="600"/>
    <n v="4000"/>
    <n v="1600"/>
  </r>
  <r>
    <s v="O0087"/>
    <s v="C071"/>
    <x v="19"/>
    <x v="8"/>
    <x v="2"/>
    <n v="3"/>
    <n v="2800"/>
    <x v="80"/>
    <x v="2"/>
    <x v="0"/>
    <n v="1800"/>
    <n v="8400"/>
    <n v="3000"/>
  </r>
  <r>
    <s v="O0088"/>
    <s v="C074"/>
    <x v="15"/>
    <x v="3"/>
    <x v="1"/>
    <n v="4"/>
    <n v="3000"/>
    <x v="81"/>
    <x v="0"/>
    <x v="3"/>
    <n v="1900"/>
    <n v="12000"/>
    <n v="4400"/>
  </r>
  <r>
    <s v="O0089"/>
    <s v="C021"/>
    <x v="6"/>
    <x v="14"/>
    <x v="1"/>
    <n v="3"/>
    <n v="1500"/>
    <x v="31"/>
    <x v="7"/>
    <x v="0"/>
    <n v="900"/>
    <n v="4500"/>
    <n v="1800"/>
  </r>
  <r>
    <s v="O0090"/>
    <s v="C040"/>
    <x v="12"/>
    <x v="15"/>
    <x v="1"/>
    <n v="4"/>
    <n v="1800"/>
    <x v="82"/>
    <x v="0"/>
    <x v="1"/>
    <n v="1100"/>
    <n v="7200"/>
    <n v="2800"/>
  </r>
  <r>
    <s v="O0091"/>
    <s v="C139"/>
    <x v="17"/>
    <x v="17"/>
    <x v="2"/>
    <n v="4"/>
    <n v="3500"/>
    <x v="83"/>
    <x v="2"/>
    <x v="4"/>
    <n v="2300"/>
    <n v="14000"/>
    <n v="4800"/>
  </r>
  <r>
    <s v="O0092"/>
    <s v="C100"/>
    <x v="12"/>
    <x v="9"/>
    <x v="0"/>
    <n v="2"/>
    <n v="22000"/>
    <x v="84"/>
    <x v="1"/>
    <x v="2"/>
    <n v="17000"/>
    <n v="44000"/>
    <n v="10000"/>
  </r>
  <r>
    <s v="O0093"/>
    <s v="C091"/>
    <x v="19"/>
    <x v="10"/>
    <x v="2"/>
    <n v="4"/>
    <n v="4500"/>
    <x v="85"/>
    <x v="5"/>
    <x v="4"/>
    <n v="2900"/>
    <n v="18000"/>
    <n v="6400"/>
  </r>
  <r>
    <s v="O0094"/>
    <s v="C057"/>
    <x v="3"/>
    <x v="17"/>
    <x v="2"/>
    <n v="5"/>
    <n v="3500"/>
    <x v="86"/>
    <x v="2"/>
    <x v="0"/>
    <n v="2300"/>
    <n v="17500"/>
    <n v="6000"/>
  </r>
  <r>
    <s v="O0095"/>
    <s v="C008"/>
    <x v="5"/>
    <x v="3"/>
    <x v="1"/>
    <n v="4"/>
    <n v="3000"/>
    <x v="25"/>
    <x v="6"/>
    <x v="3"/>
    <n v="1900"/>
    <n v="12000"/>
    <n v="4400"/>
  </r>
  <r>
    <s v="O0096"/>
    <s v="C033"/>
    <x v="18"/>
    <x v="10"/>
    <x v="2"/>
    <n v="2"/>
    <n v="4500"/>
    <x v="87"/>
    <x v="1"/>
    <x v="4"/>
    <n v="2900"/>
    <n v="9000"/>
    <n v="3200"/>
  </r>
  <r>
    <s v="O0097"/>
    <s v="C110"/>
    <x v="2"/>
    <x v="11"/>
    <x v="0"/>
    <n v="1"/>
    <n v="55000"/>
    <x v="88"/>
    <x v="7"/>
    <x v="4"/>
    <n v="42000"/>
    <n v="55000"/>
    <n v="13000"/>
  </r>
  <r>
    <s v="O0098"/>
    <s v="C098"/>
    <x v="7"/>
    <x v="16"/>
    <x v="0"/>
    <n v="1"/>
    <n v="900"/>
    <x v="89"/>
    <x v="3"/>
    <x v="0"/>
    <n v="500"/>
    <n v="900"/>
    <n v="400"/>
  </r>
  <r>
    <s v="O0099"/>
    <s v="C098"/>
    <x v="7"/>
    <x v="8"/>
    <x v="2"/>
    <n v="3"/>
    <n v="2800"/>
    <x v="5"/>
    <x v="5"/>
    <x v="4"/>
    <n v="1800"/>
    <n v="8400"/>
    <n v="3000"/>
  </r>
  <r>
    <s v="O0100"/>
    <s v="C005"/>
    <x v="16"/>
    <x v="3"/>
    <x v="1"/>
    <n v="1"/>
    <n v="3000"/>
    <x v="90"/>
    <x v="1"/>
    <x v="3"/>
    <n v="1900"/>
    <n v="3000"/>
    <n v="1100"/>
  </r>
  <r>
    <s v="O0101"/>
    <s v="C011"/>
    <x v="19"/>
    <x v="15"/>
    <x v="1"/>
    <n v="1"/>
    <n v="1800"/>
    <x v="37"/>
    <x v="1"/>
    <x v="0"/>
    <n v="1100"/>
    <n v="1800"/>
    <n v="700"/>
  </r>
  <r>
    <s v="O0102"/>
    <s v="C040"/>
    <x v="12"/>
    <x v="2"/>
    <x v="1"/>
    <n v="1"/>
    <n v="800"/>
    <x v="91"/>
    <x v="0"/>
    <x v="0"/>
    <n v="450"/>
    <n v="800"/>
    <n v="350"/>
  </r>
  <r>
    <s v="O0103"/>
    <s v="C056"/>
    <x v="11"/>
    <x v="13"/>
    <x v="2"/>
    <n v="1"/>
    <n v="1200"/>
    <x v="92"/>
    <x v="2"/>
    <x v="3"/>
    <n v="700"/>
    <n v="1200"/>
    <n v="500"/>
  </r>
  <r>
    <s v="O0104"/>
    <s v="C030"/>
    <x v="2"/>
    <x v="6"/>
    <x v="1"/>
    <n v="2"/>
    <n v="2500"/>
    <x v="93"/>
    <x v="7"/>
    <x v="3"/>
    <n v="1600"/>
    <n v="5000"/>
    <n v="1800"/>
  </r>
  <r>
    <s v="O0105"/>
    <s v="C080"/>
    <x v="12"/>
    <x v="0"/>
    <x v="0"/>
    <n v="5"/>
    <n v="5000"/>
    <x v="94"/>
    <x v="6"/>
    <x v="4"/>
    <n v="3200"/>
    <n v="25000"/>
    <n v="9000"/>
  </r>
  <r>
    <s v="O0106"/>
    <s v="C063"/>
    <x v="0"/>
    <x v="2"/>
    <x v="1"/>
    <n v="1"/>
    <n v="800"/>
    <x v="95"/>
    <x v="4"/>
    <x v="3"/>
    <n v="450"/>
    <n v="800"/>
    <n v="350"/>
  </r>
  <r>
    <s v="O0107"/>
    <s v="C089"/>
    <x v="1"/>
    <x v="0"/>
    <x v="0"/>
    <n v="5"/>
    <n v="5000"/>
    <x v="96"/>
    <x v="6"/>
    <x v="3"/>
    <n v="3200"/>
    <n v="25000"/>
    <n v="9000"/>
  </r>
  <r>
    <s v="O0108"/>
    <s v="C088"/>
    <x v="5"/>
    <x v="1"/>
    <x v="0"/>
    <n v="5"/>
    <n v="2500"/>
    <x v="97"/>
    <x v="1"/>
    <x v="4"/>
    <n v="1500"/>
    <n v="12500"/>
    <n v="5000"/>
  </r>
  <r>
    <s v="O0109"/>
    <s v="C093"/>
    <x v="18"/>
    <x v="13"/>
    <x v="2"/>
    <n v="1"/>
    <n v="1200"/>
    <x v="98"/>
    <x v="2"/>
    <x v="0"/>
    <n v="700"/>
    <n v="1200"/>
    <n v="500"/>
  </r>
  <r>
    <s v="O0110"/>
    <s v="C070"/>
    <x v="2"/>
    <x v="17"/>
    <x v="2"/>
    <n v="2"/>
    <n v="3500"/>
    <x v="99"/>
    <x v="2"/>
    <x v="4"/>
    <n v="2300"/>
    <n v="7000"/>
    <n v="2400"/>
  </r>
  <r>
    <s v="O0111"/>
    <s v="C083"/>
    <x v="0"/>
    <x v="17"/>
    <x v="2"/>
    <n v="5"/>
    <n v="3500"/>
    <x v="100"/>
    <x v="0"/>
    <x v="1"/>
    <n v="2300"/>
    <n v="17500"/>
    <n v="6000"/>
  </r>
  <r>
    <s v="O0112"/>
    <s v="C119"/>
    <x v="17"/>
    <x v="3"/>
    <x v="1"/>
    <n v="4"/>
    <n v="3000"/>
    <x v="75"/>
    <x v="6"/>
    <x v="3"/>
    <n v="1900"/>
    <n v="12000"/>
    <n v="4400"/>
  </r>
  <r>
    <s v="O0113"/>
    <s v="C047"/>
    <x v="4"/>
    <x v="11"/>
    <x v="0"/>
    <n v="4"/>
    <n v="55000"/>
    <x v="101"/>
    <x v="2"/>
    <x v="0"/>
    <n v="42000"/>
    <n v="220000"/>
    <n v="52000"/>
  </r>
  <r>
    <s v="O0114"/>
    <s v="C072"/>
    <x v="14"/>
    <x v="6"/>
    <x v="1"/>
    <n v="3"/>
    <n v="2500"/>
    <x v="102"/>
    <x v="5"/>
    <x v="2"/>
    <n v="1600"/>
    <n v="7500"/>
    <n v="2700"/>
  </r>
  <r>
    <s v="O0115"/>
    <s v="C022"/>
    <x v="13"/>
    <x v="11"/>
    <x v="0"/>
    <n v="5"/>
    <n v="55000"/>
    <x v="32"/>
    <x v="0"/>
    <x v="4"/>
    <n v="42000"/>
    <n v="275000"/>
    <n v="65000"/>
  </r>
  <r>
    <s v="O0116"/>
    <s v="C122"/>
    <x v="13"/>
    <x v="13"/>
    <x v="2"/>
    <n v="5"/>
    <n v="1200"/>
    <x v="103"/>
    <x v="2"/>
    <x v="4"/>
    <n v="700"/>
    <n v="6000"/>
    <n v="2500"/>
  </r>
  <r>
    <s v="O0117"/>
    <s v="C057"/>
    <x v="3"/>
    <x v="11"/>
    <x v="0"/>
    <n v="1"/>
    <n v="55000"/>
    <x v="104"/>
    <x v="6"/>
    <x v="0"/>
    <n v="42000"/>
    <n v="55000"/>
    <n v="13000"/>
  </r>
  <r>
    <s v="O0118"/>
    <s v="C122"/>
    <x v="13"/>
    <x v="7"/>
    <x v="1"/>
    <n v="5"/>
    <n v="2200"/>
    <x v="105"/>
    <x v="3"/>
    <x v="4"/>
    <n v="1400"/>
    <n v="11000"/>
    <n v="4000"/>
  </r>
  <r>
    <s v="O0119"/>
    <s v="C117"/>
    <x v="3"/>
    <x v="5"/>
    <x v="2"/>
    <n v="3"/>
    <n v="700"/>
    <x v="106"/>
    <x v="5"/>
    <x v="3"/>
    <n v="350"/>
    <n v="2100"/>
    <n v="1050"/>
  </r>
  <r>
    <s v="O0120"/>
    <s v="C050"/>
    <x v="2"/>
    <x v="3"/>
    <x v="1"/>
    <n v="2"/>
    <n v="3000"/>
    <x v="28"/>
    <x v="3"/>
    <x v="1"/>
    <n v="1900"/>
    <n v="6000"/>
    <n v="2200"/>
  </r>
  <r>
    <s v="O0121"/>
    <s v="C056"/>
    <x v="11"/>
    <x v="5"/>
    <x v="2"/>
    <n v="2"/>
    <n v="700"/>
    <x v="8"/>
    <x v="2"/>
    <x v="3"/>
    <n v="350"/>
    <n v="1400"/>
    <n v="700"/>
  </r>
  <r>
    <s v="O0122"/>
    <s v="C026"/>
    <x v="8"/>
    <x v="12"/>
    <x v="2"/>
    <n v="5"/>
    <n v="1000"/>
    <x v="107"/>
    <x v="0"/>
    <x v="3"/>
    <n v="600"/>
    <n v="5000"/>
    <n v="2000"/>
  </r>
  <r>
    <s v="O0123"/>
    <s v="C078"/>
    <x v="7"/>
    <x v="15"/>
    <x v="1"/>
    <n v="3"/>
    <n v="1800"/>
    <x v="21"/>
    <x v="1"/>
    <x v="2"/>
    <n v="1100"/>
    <n v="5400"/>
    <n v="2100"/>
  </r>
  <r>
    <s v="O0124"/>
    <s v="C014"/>
    <x v="15"/>
    <x v="4"/>
    <x v="0"/>
    <n v="3"/>
    <n v="1800"/>
    <x v="73"/>
    <x v="5"/>
    <x v="0"/>
    <n v="1100"/>
    <n v="5400"/>
    <n v="2100"/>
  </r>
  <r>
    <s v="O0125"/>
    <s v="C147"/>
    <x v="4"/>
    <x v="13"/>
    <x v="2"/>
    <n v="1"/>
    <n v="1200"/>
    <x v="108"/>
    <x v="5"/>
    <x v="4"/>
    <n v="700"/>
    <n v="1200"/>
    <n v="500"/>
  </r>
  <r>
    <s v="O0126"/>
    <s v="C048"/>
    <x v="5"/>
    <x v="13"/>
    <x v="2"/>
    <n v="4"/>
    <n v="1200"/>
    <x v="102"/>
    <x v="1"/>
    <x v="3"/>
    <n v="700"/>
    <n v="4800"/>
    <n v="2000"/>
  </r>
  <r>
    <s v="O0127"/>
    <s v="C103"/>
    <x v="0"/>
    <x v="13"/>
    <x v="2"/>
    <n v="1"/>
    <n v="1200"/>
    <x v="109"/>
    <x v="2"/>
    <x v="1"/>
    <n v="700"/>
    <n v="1200"/>
    <n v="500"/>
  </r>
  <r>
    <s v="O0128"/>
    <s v="C145"/>
    <x v="16"/>
    <x v="9"/>
    <x v="0"/>
    <n v="2"/>
    <n v="22000"/>
    <x v="110"/>
    <x v="5"/>
    <x v="1"/>
    <n v="17000"/>
    <n v="44000"/>
    <n v="10000"/>
  </r>
  <r>
    <s v="O0129"/>
    <s v="C107"/>
    <x v="4"/>
    <x v="15"/>
    <x v="1"/>
    <n v="1"/>
    <n v="1800"/>
    <x v="111"/>
    <x v="0"/>
    <x v="2"/>
    <n v="1100"/>
    <n v="1800"/>
    <n v="700"/>
  </r>
  <r>
    <s v="O0130"/>
    <s v="C077"/>
    <x v="3"/>
    <x v="10"/>
    <x v="2"/>
    <n v="4"/>
    <n v="4500"/>
    <x v="70"/>
    <x v="6"/>
    <x v="3"/>
    <n v="2900"/>
    <n v="18000"/>
    <n v="6400"/>
  </r>
  <r>
    <s v="O0131"/>
    <s v="C054"/>
    <x v="15"/>
    <x v="9"/>
    <x v="0"/>
    <n v="5"/>
    <n v="22000"/>
    <x v="112"/>
    <x v="0"/>
    <x v="3"/>
    <n v="17000"/>
    <n v="110000"/>
    <n v="25000"/>
  </r>
  <r>
    <s v="O0132"/>
    <s v="C045"/>
    <x v="16"/>
    <x v="1"/>
    <x v="0"/>
    <n v="2"/>
    <n v="2500"/>
    <x v="45"/>
    <x v="4"/>
    <x v="0"/>
    <n v="1500"/>
    <n v="5000"/>
    <n v="2000"/>
  </r>
  <r>
    <s v="O0133"/>
    <s v="C121"/>
    <x v="6"/>
    <x v="11"/>
    <x v="0"/>
    <n v="4"/>
    <n v="55000"/>
    <x v="113"/>
    <x v="5"/>
    <x v="1"/>
    <n v="42000"/>
    <n v="220000"/>
    <n v="52000"/>
  </r>
  <r>
    <s v="O0134"/>
    <s v="C073"/>
    <x v="18"/>
    <x v="15"/>
    <x v="1"/>
    <n v="3"/>
    <n v="1800"/>
    <x v="114"/>
    <x v="2"/>
    <x v="1"/>
    <n v="1100"/>
    <n v="5400"/>
    <n v="2100"/>
  </r>
  <r>
    <s v="O0135"/>
    <s v="C051"/>
    <x v="19"/>
    <x v="15"/>
    <x v="1"/>
    <n v="3"/>
    <n v="1800"/>
    <x v="115"/>
    <x v="6"/>
    <x v="1"/>
    <n v="1100"/>
    <n v="5400"/>
    <n v="2100"/>
  </r>
  <r>
    <s v="O0136"/>
    <s v="C039"/>
    <x v="17"/>
    <x v="5"/>
    <x v="2"/>
    <n v="2"/>
    <n v="700"/>
    <x v="97"/>
    <x v="5"/>
    <x v="0"/>
    <n v="350"/>
    <n v="1400"/>
    <n v="700"/>
  </r>
  <r>
    <s v="O0137"/>
    <s v="C079"/>
    <x v="17"/>
    <x v="1"/>
    <x v="0"/>
    <n v="1"/>
    <n v="2500"/>
    <x v="26"/>
    <x v="5"/>
    <x v="4"/>
    <n v="1500"/>
    <n v="2500"/>
    <n v="1000"/>
  </r>
  <r>
    <s v="O0138"/>
    <s v="C078"/>
    <x v="7"/>
    <x v="0"/>
    <x v="0"/>
    <n v="4"/>
    <n v="5000"/>
    <x v="116"/>
    <x v="6"/>
    <x v="3"/>
    <n v="3200"/>
    <n v="20000"/>
    <n v="7200"/>
  </r>
  <r>
    <s v="O0139"/>
    <s v="C113"/>
    <x v="18"/>
    <x v="12"/>
    <x v="2"/>
    <n v="5"/>
    <n v="1000"/>
    <x v="117"/>
    <x v="4"/>
    <x v="2"/>
    <n v="600"/>
    <n v="5000"/>
    <n v="2000"/>
  </r>
  <r>
    <s v="O0140"/>
    <s v="C065"/>
    <x v="16"/>
    <x v="9"/>
    <x v="0"/>
    <n v="4"/>
    <n v="22000"/>
    <x v="118"/>
    <x v="1"/>
    <x v="1"/>
    <n v="17000"/>
    <n v="88000"/>
    <n v="20000"/>
  </r>
  <r>
    <s v="O0141"/>
    <s v="C006"/>
    <x v="8"/>
    <x v="15"/>
    <x v="1"/>
    <n v="5"/>
    <n v="1800"/>
    <x v="119"/>
    <x v="5"/>
    <x v="2"/>
    <n v="1100"/>
    <n v="9000"/>
    <n v="3500"/>
  </r>
  <r>
    <s v="O0142"/>
    <s v="C133"/>
    <x v="18"/>
    <x v="9"/>
    <x v="0"/>
    <n v="2"/>
    <n v="22000"/>
    <x v="90"/>
    <x v="2"/>
    <x v="3"/>
    <n v="17000"/>
    <n v="44000"/>
    <n v="10000"/>
  </r>
  <r>
    <s v="O0143"/>
    <s v="C126"/>
    <x v="8"/>
    <x v="16"/>
    <x v="0"/>
    <n v="5"/>
    <n v="900"/>
    <x v="120"/>
    <x v="4"/>
    <x v="4"/>
    <n v="500"/>
    <n v="4500"/>
    <n v="2000"/>
  </r>
  <r>
    <s v="O0144"/>
    <s v="C083"/>
    <x v="0"/>
    <x v="6"/>
    <x v="1"/>
    <n v="4"/>
    <n v="2500"/>
    <x v="121"/>
    <x v="4"/>
    <x v="0"/>
    <n v="1600"/>
    <n v="10000"/>
    <n v="3600"/>
  </r>
  <r>
    <s v="O0145"/>
    <s v="C127"/>
    <x v="4"/>
    <x v="14"/>
    <x v="1"/>
    <n v="4"/>
    <n v="1500"/>
    <x v="82"/>
    <x v="5"/>
    <x v="4"/>
    <n v="900"/>
    <n v="6000"/>
    <n v="2400"/>
  </r>
  <r>
    <s v="O0146"/>
    <s v="C023"/>
    <x v="0"/>
    <x v="5"/>
    <x v="2"/>
    <n v="1"/>
    <n v="700"/>
    <x v="122"/>
    <x v="3"/>
    <x v="3"/>
    <n v="350"/>
    <n v="700"/>
    <n v="350"/>
  </r>
  <r>
    <s v="O0147"/>
    <s v="C132"/>
    <x v="14"/>
    <x v="14"/>
    <x v="1"/>
    <n v="1"/>
    <n v="1500"/>
    <x v="123"/>
    <x v="1"/>
    <x v="2"/>
    <n v="900"/>
    <n v="1500"/>
    <n v="600"/>
  </r>
  <r>
    <s v="O0148"/>
    <s v="C049"/>
    <x v="1"/>
    <x v="8"/>
    <x v="2"/>
    <n v="4"/>
    <n v="2800"/>
    <x v="124"/>
    <x v="3"/>
    <x v="2"/>
    <n v="1800"/>
    <n v="11200"/>
    <n v="4000"/>
  </r>
  <r>
    <s v="O0149"/>
    <s v="C053"/>
    <x v="18"/>
    <x v="13"/>
    <x v="2"/>
    <n v="4"/>
    <n v="1200"/>
    <x v="125"/>
    <x v="5"/>
    <x v="2"/>
    <n v="700"/>
    <n v="4800"/>
    <n v="2000"/>
  </r>
  <r>
    <s v="O0150"/>
    <s v="C125"/>
    <x v="16"/>
    <x v="4"/>
    <x v="0"/>
    <n v="3"/>
    <n v="1800"/>
    <x v="126"/>
    <x v="4"/>
    <x v="1"/>
    <n v="1100"/>
    <n v="5400"/>
    <n v="2100"/>
  </r>
  <r>
    <s v="O0151"/>
    <s v="C142"/>
    <x v="13"/>
    <x v="15"/>
    <x v="1"/>
    <n v="2"/>
    <n v="1800"/>
    <x v="27"/>
    <x v="1"/>
    <x v="2"/>
    <n v="1100"/>
    <n v="3600"/>
    <n v="1400"/>
  </r>
  <r>
    <s v="O0152"/>
    <s v="C030"/>
    <x v="2"/>
    <x v="17"/>
    <x v="2"/>
    <n v="1"/>
    <n v="3500"/>
    <x v="127"/>
    <x v="2"/>
    <x v="1"/>
    <n v="2300"/>
    <n v="3500"/>
    <n v="1200"/>
  </r>
  <r>
    <s v="O0153"/>
    <s v="C131"/>
    <x v="19"/>
    <x v="4"/>
    <x v="0"/>
    <n v="4"/>
    <n v="1800"/>
    <x v="128"/>
    <x v="5"/>
    <x v="4"/>
    <n v="1100"/>
    <n v="7200"/>
    <n v="2800"/>
  </r>
  <r>
    <s v="O0154"/>
    <s v="C117"/>
    <x v="3"/>
    <x v="13"/>
    <x v="2"/>
    <n v="4"/>
    <n v="1200"/>
    <x v="75"/>
    <x v="7"/>
    <x v="4"/>
    <n v="700"/>
    <n v="4800"/>
    <n v="2000"/>
  </r>
  <r>
    <s v="O0155"/>
    <s v="C035"/>
    <x v="9"/>
    <x v="2"/>
    <x v="1"/>
    <n v="5"/>
    <n v="800"/>
    <x v="129"/>
    <x v="4"/>
    <x v="3"/>
    <n v="450"/>
    <n v="4000"/>
    <n v="1750"/>
  </r>
  <r>
    <s v="O0156"/>
    <s v="C069"/>
    <x v="1"/>
    <x v="17"/>
    <x v="2"/>
    <n v="3"/>
    <n v="3500"/>
    <x v="130"/>
    <x v="1"/>
    <x v="3"/>
    <n v="2300"/>
    <n v="10500"/>
    <n v="3600"/>
  </r>
  <r>
    <s v="O0157"/>
    <s v="C126"/>
    <x v="8"/>
    <x v="7"/>
    <x v="1"/>
    <n v="5"/>
    <n v="2200"/>
    <x v="131"/>
    <x v="7"/>
    <x v="4"/>
    <n v="1400"/>
    <n v="11000"/>
    <n v="4000"/>
  </r>
  <r>
    <s v="O0158"/>
    <s v="C086"/>
    <x v="8"/>
    <x v="5"/>
    <x v="2"/>
    <n v="4"/>
    <n v="700"/>
    <x v="6"/>
    <x v="6"/>
    <x v="4"/>
    <n v="350"/>
    <n v="2800"/>
    <n v="1400"/>
  </r>
  <r>
    <s v="O0159"/>
    <s v="C062"/>
    <x v="13"/>
    <x v="14"/>
    <x v="1"/>
    <n v="2"/>
    <n v="1500"/>
    <x v="132"/>
    <x v="6"/>
    <x v="0"/>
    <n v="900"/>
    <n v="3000"/>
    <n v="1200"/>
  </r>
  <r>
    <s v="O0160"/>
    <s v="C122"/>
    <x v="13"/>
    <x v="17"/>
    <x v="2"/>
    <n v="1"/>
    <n v="3500"/>
    <x v="133"/>
    <x v="6"/>
    <x v="4"/>
    <n v="2300"/>
    <n v="3500"/>
    <n v="1200"/>
  </r>
  <r>
    <s v="O0161"/>
    <s v="C033"/>
    <x v="18"/>
    <x v="4"/>
    <x v="0"/>
    <n v="4"/>
    <n v="1800"/>
    <x v="134"/>
    <x v="3"/>
    <x v="1"/>
    <n v="1100"/>
    <n v="7200"/>
    <n v="2800"/>
  </r>
  <r>
    <s v="O0162"/>
    <s v="C117"/>
    <x v="3"/>
    <x v="8"/>
    <x v="2"/>
    <n v="1"/>
    <n v="2800"/>
    <x v="135"/>
    <x v="1"/>
    <x v="0"/>
    <n v="1800"/>
    <n v="2800"/>
    <n v="1000"/>
  </r>
  <r>
    <s v="O0163"/>
    <s v="C121"/>
    <x v="6"/>
    <x v="17"/>
    <x v="2"/>
    <n v="2"/>
    <n v="3500"/>
    <x v="55"/>
    <x v="5"/>
    <x v="3"/>
    <n v="2300"/>
    <n v="7000"/>
    <n v="2400"/>
  </r>
  <r>
    <s v="O0164"/>
    <s v="C137"/>
    <x v="3"/>
    <x v="10"/>
    <x v="2"/>
    <n v="1"/>
    <n v="4500"/>
    <x v="136"/>
    <x v="6"/>
    <x v="3"/>
    <n v="2900"/>
    <n v="4500"/>
    <n v="1600"/>
  </r>
  <r>
    <s v="O0165"/>
    <s v="C018"/>
    <x v="7"/>
    <x v="13"/>
    <x v="2"/>
    <n v="5"/>
    <n v="1200"/>
    <x v="134"/>
    <x v="0"/>
    <x v="3"/>
    <n v="700"/>
    <n v="6000"/>
    <n v="2500"/>
  </r>
  <r>
    <s v="O0166"/>
    <s v="C026"/>
    <x v="8"/>
    <x v="15"/>
    <x v="1"/>
    <n v="1"/>
    <n v="1800"/>
    <x v="20"/>
    <x v="4"/>
    <x v="4"/>
    <n v="1100"/>
    <n v="1800"/>
    <n v="700"/>
  </r>
  <r>
    <s v="O0167"/>
    <s v="C012"/>
    <x v="14"/>
    <x v="16"/>
    <x v="0"/>
    <n v="3"/>
    <n v="900"/>
    <x v="137"/>
    <x v="3"/>
    <x v="1"/>
    <n v="500"/>
    <n v="2700"/>
    <n v="1200"/>
  </r>
  <r>
    <s v="O0168"/>
    <s v="C111"/>
    <x v="19"/>
    <x v="7"/>
    <x v="1"/>
    <n v="3"/>
    <n v="2200"/>
    <x v="138"/>
    <x v="7"/>
    <x v="0"/>
    <n v="1400"/>
    <n v="6600"/>
    <n v="2400"/>
  </r>
  <r>
    <s v="O0169"/>
    <s v="C047"/>
    <x v="4"/>
    <x v="12"/>
    <x v="2"/>
    <n v="4"/>
    <n v="1000"/>
    <x v="139"/>
    <x v="7"/>
    <x v="0"/>
    <n v="600"/>
    <n v="4000"/>
    <n v="1600"/>
  </r>
  <r>
    <s v="O0170"/>
    <s v="C062"/>
    <x v="13"/>
    <x v="1"/>
    <x v="0"/>
    <n v="5"/>
    <n v="2500"/>
    <x v="18"/>
    <x v="2"/>
    <x v="2"/>
    <n v="1500"/>
    <n v="12500"/>
    <n v="5000"/>
  </r>
  <r>
    <s v="O0171"/>
    <s v="C066"/>
    <x v="8"/>
    <x v="4"/>
    <x v="0"/>
    <n v="2"/>
    <n v="1800"/>
    <x v="140"/>
    <x v="2"/>
    <x v="3"/>
    <n v="1100"/>
    <n v="3600"/>
    <n v="1400"/>
  </r>
  <r>
    <s v="O0172"/>
    <s v="C140"/>
    <x v="12"/>
    <x v="11"/>
    <x v="0"/>
    <n v="4"/>
    <n v="55000"/>
    <x v="141"/>
    <x v="7"/>
    <x v="1"/>
    <n v="42000"/>
    <n v="220000"/>
    <n v="52000"/>
  </r>
  <r>
    <s v="O0173"/>
    <s v="C077"/>
    <x v="3"/>
    <x v="8"/>
    <x v="2"/>
    <n v="3"/>
    <n v="2800"/>
    <x v="119"/>
    <x v="6"/>
    <x v="3"/>
    <n v="1800"/>
    <n v="8400"/>
    <n v="3000"/>
  </r>
  <r>
    <s v="O0174"/>
    <s v="C099"/>
    <x v="17"/>
    <x v="8"/>
    <x v="2"/>
    <n v="3"/>
    <n v="2800"/>
    <x v="22"/>
    <x v="2"/>
    <x v="1"/>
    <n v="1800"/>
    <n v="8400"/>
    <n v="3000"/>
  </r>
  <r>
    <s v="O0175"/>
    <s v="C092"/>
    <x v="14"/>
    <x v="15"/>
    <x v="1"/>
    <n v="4"/>
    <n v="1800"/>
    <x v="142"/>
    <x v="5"/>
    <x v="3"/>
    <n v="1100"/>
    <n v="7200"/>
    <n v="2800"/>
  </r>
  <r>
    <s v="O0176"/>
    <s v="C003"/>
    <x v="0"/>
    <x v="11"/>
    <x v="0"/>
    <n v="4"/>
    <n v="55000"/>
    <x v="0"/>
    <x v="1"/>
    <x v="2"/>
    <n v="42000"/>
    <n v="220000"/>
    <n v="52000"/>
  </r>
  <r>
    <s v="O0177"/>
    <s v="C091"/>
    <x v="19"/>
    <x v="13"/>
    <x v="2"/>
    <n v="3"/>
    <n v="1200"/>
    <x v="143"/>
    <x v="0"/>
    <x v="0"/>
    <n v="700"/>
    <n v="3600"/>
    <n v="1500"/>
  </r>
  <r>
    <s v="O0178"/>
    <s v="C025"/>
    <x v="16"/>
    <x v="3"/>
    <x v="1"/>
    <n v="2"/>
    <n v="3000"/>
    <x v="144"/>
    <x v="1"/>
    <x v="3"/>
    <n v="1900"/>
    <n v="6000"/>
    <n v="2200"/>
  </r>
  <r>
    <s v="O0179"/>
    <s v="C094"/>
    <x v="15"/>
    <x v="8"/>
    <x v="2"/>
    <n v="1"/>
    <n v="2800"/>
    <x v="131"/>
    <x v="7"/>
    <x v="1"/>
    <n v="1800"/>
    <n v="2800"/>
    <n v="1000"/>
  </r>
  <r>
    <s v="O0180"/>
    <s v="C045"/>
    <x v="16"/>
    <x v="7"/>
    <x v="1"/>
    <n v="3"/>
    <n v="2200"/>
    <x v="74"/>
    <x v="0"/>
    <x v="0"/>
    <n v="1400"/>
    <n v="6600"/>
    <n v="2400"/>
  </r>
  <r>
    <s v="O0181"/>
    <s v="C129"/>
    <x v="1"/>
    <x v="5"/>
    <x v="2"/>
    <n v="3"/>
    <n v="700"/>
    <x v="145"/>
    <x v="5"/>
    <x v="0"/>
    <n v="350"/>
    <n v="2100"/>
    <n v="1050"/>
  </r>
  <r>
    <s v="O0182"/>
    <s v="C087"/>
    <x v="4"/>
    <x v="3"/>
    <x v="1"/>
    <n v="4"/>
    <n v="3000"/>
    <x v="146"/>
    <x v="4"/>
    <x v="4"/>
    <n v="1900"/>
    <n v="12000"/>
    <n v="4400"/>
  </r>
  <r>
    <s v="O0183"/>
    <s v="C102"/>
    <x v="13"/>
    <x v="1"/>
    <x v="0"/>
    <n v="2"/>
    <n v="2500"/>
    <x v="127"/>
    <x v="3"/>
    <x v="1"/>
    <n v="1500"/>
    <n v="5000"/>
    <n v="2000"/>
  </r>
  <r>
    <s v="O0184"/>
    <s v="C138"/>
    <x v="7"/>
    <x v="10"/>
    <x v="2"/>
    <n v="1"/>
    <n v="4500"/>
    <x v="147"/>
    <x v="4"/>
    <x v="4"/>
    <n v="2900"/>
    <n v="4500"/>
    <n v="1600"/>
  </r>
  <r>
    <s v="O0185"/>
    <s v="C098"/>
    <x v="7"/>
    <x v="6"/>
    <x v="1"/>
    <n v="3"/>
    <n v="2500"/>
    <x v="41"/>
    <x v="3"/>
    <x v="1"/>
    <n v="1600"/>
    <n v="7500"/>
    <n v="2700"/>
  </r>
  <r>
    <s v="O0186"/>
    <s v="C144"/>
    <x v="10"/>
    <x v="15"/>
    <x v="1"/>
    <n v="4"/>
    <n v="1800"/>
    <x v="58"/>
    <x v="3"/>
    <x v="2"/>
    <n v="1100"/>
    <n v="7200"/>
    <n v="2800"/>
  </r>
  <r>
    <s v="O0187"/>
    <s v="C119"/>
    <x v="17"/>
    <x v="15"/>
    <x v="1"/>
    <n v="1"/>
    <n v="1800"/>
    <x v="148"/>
    <x v="5"/>
    <x v="4"/>
    <n v="1100"/>
    <n v="1800"/>
    <n v="700"/>
  </r>
  <r>
    <s v="O0188"/>
    <s v="C010"/>
    <x v="2"/>
    <x v="0"/>
    <x v="0"/>
    <n v="2"/>
    <n v="5000"/>
    <x v="73"/>
    <x v="5"/>
    <x v="4"/>
    <n v="3200"/>
    <n v="10000"/>
    <n v="3600"/>
  </r>
  <r>
    <s v="O0189"/>
    <s v="C138"/>
    <x v="7"/>
    <x v="0"/>
    <x v="0"/>
    <n v="1"/>
    <n v="5000"/>
    <x v="72"/>
    <x v="7"/>
    <x v="4"/>
    <n v="3200"/>
    <n v="5000"/>
    <n v="1800"/>
  </r>
  <r>
    <s v="O0190"/>
    <s v="C139"/>
    <x v="17"/>
    <x v="8"/>
    <x v="2"/>
    <n v="3"/>
    <n v="2800"/>
    <x v="149"/>
    <x v="6"/>
    <x v="2"/>
    <n v="1800"/>
    <n v="8400"/>
    <n v="3000"/>
  </r>
  <r>
    <s v="O0191"/>
    <s v="C026"/>
    <x v="8"/>
    <x v="4"/>
    <x v="0"/>
    <n v="4"/>
    <n v="1800"/>
    <x v="150"/>
    <x v="2"/>
    <x v="2"/>
    <n v="1100"/>
    <n v="7200"/>
    <n v="2800"/>
  </r>
  <r>
    <s v="O0192"/>
    <s v="C095"/>
    <x v="9"/>
    <x v="17"/>
    <x v="2"/>
    <n v="3"/>
    <n v="3500"/>
    <x v="12"/>
    <x v="0"/>
    <x v="4"/>
    <n v="2300"/>
    <n v="10500"/>
    <n v="3600"/>
  </r>
  <r>
    <s v="O0193"/>
    <s v="C026"/>
    <x v="8"/>
    <x v="8"/>
    <x v="2"/>
    <n v="2"/>
    <n v="2800"/>
    <x v="151"/>
    <x v="3"/>
    <x v="2"/>
    <n v="1800"/>
    <n v="5600"/>
    <n v="2000"/>
  </r>
  <r>
    <s v="O0194"/>
    <s v="C071"/>
    <x v="19"/>
    <x v="6"/>
    <x v="1"/>
    <n v="1"/>
    <n v="2500"/>
    <x v="152"/>
    <x v="0"/>
    <x v="1"/>
    <n v="1600"/>
    <n v="2500"/>
    <n v="900"/>
  </r>
  <r>
    <s v="O0195"/>
    <s v="C055"/>
    <x v="9"/>
    <x v="8"/>
    <x v="2"/>
    <n v="1"/>
    <n v="2800"/>
    <x v="153"/>
    <x v="1"/>
    <x v="1"/>
    <n v="1800"/>
    <n v="2800"/>
    <n v="1000"/>
  </r>
  <r>
    <s v="O0196"/>
    <s v="C145"/>
    <x v="16"/>
    <x v="14"/>
    <x v="1"/>
    <n v="2"/>
    <n v="1500"/>
    <x v="154"/>
    <x v="0"/>
    <x v="1"/>
    <n v="900"/>
    <n v="3000"/>
    <n v="1200"/>
  </r>
  <r>
    <s v="O0197"/>
    <s v="C056"/>
    <x v="11"/>
    <x v="5"/>
    <x v="2"/>
    <n v="2"/>
    <n v="700"/>
    <x v="119"/>
    <x v="0"/>
    <x v="3"/>
    <n v="350"/>
    <n v="1400"/>
    <n v="700"/>
  </r>
  <r>
    <s v="O0198"/>
    <s v="C071"/>
    <x v="19"/>
    <x v="4"/>
    <x v="0"/>
    <n v="5"/>
    <n v="1800"/>
    <x v="155"/>
    <x v="7"/>
    <x v="0"/>
    <n v="1100"/>
    <n v="9000"/>
    <n v="3500"/>
  </r>
  <r>
    <s v="O0199"/>
    <s v="C029"/>
    <x v="1"/>
    <x v="5"/>
    <x v="2"/>
    <n v="3"/>
    <n v="700"/>
    <x v="156"/>
    <x v="1"/>
    <x v="0"/>
    <n v="350"/>
    <n v="2100"/>
    <n v="1050"/>
  </r>
  <r>
    <s v="O0200"/>
    <s v="C083"/>
    <x v="0"/>
    <x v="11"/>
    <x v="0"/>
    <n v="3"/>
    <n v="55000"/>
    <x v="157"/>
    <x v="1"/>
    <x v="0"/>
    <n v="42000"/>
    <n v="165000"/>
    <n v="39000"/>
  </r>
  <r>
    <s v="O0201"/>
    <s v="C108"/>
    <x v="5"/>
    <x v="3"/>
    <x v="1"/>
    <n v="1"/>
    <n v="3000"/>
    <x v="154"/>
    <x v="4"/>
    <x v="1"/>
    <n v="1900"/>
    <n v="3000"/>
    <n v="1100"/>
  </r>
  <r>
    <s v="O0202"/>
    <s v="C132"/>
    <x v="14"/>
    <x v="13"/>
    <x v="2"/>
    <n v="4"/>
    <n v="1200"/>
    <x v="151"/>
    <x v="4"/>
    <x v="4"/>
    <n v="700"/>
    <n v="4800"/>
    <n v="2000"/>
  </r>
  <r>
    <s v="O0203"/>
    <s v="C012"/>
    <x v="14"/>
    <x v="12"/>
    <x v="2"/>
    <n v="2"/>
    <n v="1000"/>
    <x v="158"/>
    <x v="5"/>
    <x v="4"/>
    <n v="600"/>
    <n v="2000"/>
    <n v="800"/>
  </r>
  <r>
    <s v="O0204"/>
    <s v="C103"/>
    <x v="0"/>
    <x v="11"/>
    <x v="0"/>
    <n v="1"/>
    <n v="55000"/>
    <x v="159"/>
    <x v="6"/>
    <x v="1"/>
    <n v="42000"/>
    <n v="55000"/>
    <n v="13000"/>
  </r>
  <r>
    <s v="O0205"/>
    <s v="C021"/>
    <x v="6"/>
    <x v="13"/>
    <x v="2"/>
    <n v="4"/>
    <n v="1200"/>
    <x v="160"/>
    <x v="3"/>
    <x v="2"/>
    <n v="700"/>
    <n v="4800"/>
    <n v="2000"/>
  </r>
  <r>
    <s v="O0206"/>
    <s v="C071"/>
    <x v="19"/>
    <x v="4"/>
    <x v="0"/>
    <n v="1"/>
    <n v="1800"/>
    <x v="154"/>
    <x v="3"/>
    <x v="4"/>
    <n v="1100"/>
    <n v="1800"/>
    <n v="700"/>
  </r>
  <r>
    <s v="O0207"/>
    <s v="C130"/>
    <x v="2"/>
    <x v="12"/>
    <x v="2"/>
    <n v="3"/>
    <n v="1000"/>
    <x v="122"/>
    <x v="6"/>
    <x v="1"/>
    <n v="600"/>
    <n v="3000"/>
    <n v="1200"/>
  </r>
  <r>
    <s v="O0208"/>
    <s v="C111"/>
    <x v="19"/>
    <x v="0"/>
    <x v="0"/>
    <n v="5"/>
    <n v="5000"/>
    <x v="161"/>
    <x v="2"/>
    <x v="0"/>
    <n v="3200"/>
    <n v="25000"/>
    <n v="9000"/>
  </r>
  <r>
    <s v="O0209"/>
    <s v="C103"/>
    <x v="0"/>
    <x v="17"/>
    <x v="2"/>
    <n v="3"/>
    <n v="3500"/>
    <x v="122"/>
    <x v="6"/>
    <x v="1"/>
    <n v="2300"/>
    <n v="10500"/>
    <n v="3600"/>
  </r>
  <r>
    <s v="O0210"/>
    <s v="C066"/>
    <x v="8"/>
    <x v="14"/>
    <x v="1"/>
    <n v="4"/>
    <n v="1500"/>
    <x v="162"/>
    <x v="3"/>
    <x v="0"/>
    <n v="900"/>
    <n v="6000"/>
    <n v="2400"/>
  </r>
  <r>
    <s v="O0211"/>
    <s v="C022"/>
    <x v="13"/>
    <x v="13"/>
    <x v="2"/>
    <n v="1"/>
    <n v="1200"/>
    <x v="163"/>
    <x v="4"/>
    <x v="4"/>
    <n v="700"/>
    <n v="1200"/>
    <n v="500"/>
  </r>
  <r>
    <s v="O0212"/>
    <s v="C143"/>
    <x v="0"/>
    <x v="0"/>
    <x v="0"/>
    <n v="3"/>
    <n v="5000"/>
    <x v="164"/>
    <x v="1"/>
    <x v="2"/>
    <n v="3200"/>
    <n v="15000"/>
    <n v="5400"/>
  </r>
  <r>
    <s v="O0213"/>
    <s v="C032"/>
    <x v="14"/>
    <x v="5"/>
    <x v="2"/>
    <n v="5"/>
    <n v="700"/>
    <x v="136"/>
    <x v="6"/>
    <x v="3"/>
    <n v="350"/>
    <n v="3500"/>
    <n v="1750"/>
  </r>
  <r>
    <s v="O0214"/>
    <s v="C080"/>
    <x v="12"/>
    <x v="17"/>
    <x v="2"/>
    <n v="1"/>
    <n v="3500"/>
    <x v="141"/>
    <x v="3"/>
    <x v="1"/>
    <n v="2300"/>
    <n v="3500"/>
    <n v="1200"/>
  </r>
  <r>
    <s v="O0215"/>
    <s v="C124"/>
    <x v="10"/>
    <x v="12"/>
    <x v="2"/>
    <n v="2"/>
    <n v="1000"/>
    <x v="165"/>
    <x v="0"/>
    <x v="1"/>
    <n v="600"/>
    <n v="2000"/>
    <n v="800"/>
  </r>
  <r>
    <s v="O0216"/>
    <s v="C030"/>
    <x v="2"/>
    <x v="6"/>
    <x v="1"/>
    <n v="5"/>
    <n v="2500"/>
    <x v="105"/>
    <x v="5"/>
    <x v="2"/>
    <n v="1600"/>
    <n v="12500"/>
    <n v="4500"/>
  </r>
  <r>
    <s v="O0217"/>
    <s v="C143"/>
    <x v="0"/>
    <x v="15"/>
    <x v="1"/>
    <n v="4"/>
    <n v="1800"/>
    <x v="166"/>
    <x v="1"/>
    <x v="2"/>
    <n v="1100"/>
    <n v="7200"/>
    <n v="2800"/>
  </r>
  <r>
    <s v="O0218"/>
    <s v="C070"/>
    <x v="2"/>
    <x v="3"/>
    <x v="1"/>
    <n v="1"/>
    <n v="3000"/>
    <x v="167"/>
    <x v="5"/>
    <x v="3"/>
    <n v="1900"/>
    <n v="3000"/>
    <n v="1100"/>
  </r>
  <r>
    <s v="O0219"/>
    <s v="C037"/>
    <x v="3"/>
    <x v="6"/>
    <x v="1"/>
    <n v="1"/>
    <n v="2500"/>
    <x v="167"/>
    <x v="6"/>
    <x v="1"/>
    <n v="1600"/>
    <n v="2500"/>
    <n v="900"/>
  </r>
  <r>
    <s v="O0220"/>
    <s v="C136"/>
    <x v="11"/>
    <x v="4"/>
    <x v="0"/>
    <n v="1"/>
    <n v="1800"/>
    <x v="163"/>
    <x v="0"/>
    <x v="4"/>
    <n v="1100"/>
    <n v="1800"/>
    <n v="700"/>
  </r>
  <r>
    <s v="O0221"/>
    <s v="C041"/>
    <x v="6"/>
    <x v="17"/>
    <x v="2"/>
    <n v="4"/>
    <n v="3500"/>
    <x v="102"/>
    <x v="3"/>
    <x v="3"/>
    <n v="2300"/>
    <n v="14000"/>
    <n v="4800"/>
  </r>
  <r>
    <s v="O0222"/>
    <s v="C022"/>
    <x v="13"/>
    <x v="14"/>
    <x v="1"/>
    <n v="5"/>
    <n v="1500"/>
    <x v="168"/>
    <x v="1"/>
    <x v="0"/>
    <n v="900"/>
    <n v="7500"/>
    <n v="3000"/>
  </r>
  <r>
    <s v="O0223"/>
    <s v="C021"/>
    <x v="6"/>
    <x v="16"/>
    <x v="0"/>
    <n v="5"/>
    <n v="900"/>
    <x v="169"/>
    <x v="5"/>
    <x v="4"/>
    <n v="500"/>
    <n v="4500"/>
    <n v="2000"/>
  </r>
  <r>
    <s v="O0224"/>
    <s v="C114"/>
    <x v="15"/>
    <x v="17"/>
    <x v="2"/>
    <n v="4"/>
    <n v="3500"/>
    <x v="93"/>
    <x v="6"/>
    <x v="3"/>
    <n v="2300"/>
    <n v="14000"/>
    <n v="4800"/>
  </r>
  <r>
    <s v="O0225"/>
    <s v="C089"/>
    <x v="1"/>
    <x v="2"/>
    <x v="1"/>
    <n v="5"/>
    <n v="800"/>
    <x v="170"/>
    <x v="6"/>
    <x v="1"/>
    <n v="450"/>
    <n v="4000"/>
    <n v="1750"/>
  </r>
  <r>
    <s v="O0226"/>
    <s v="C135"/>
    <x v="9"/>
    <x v="7"/>
    <x v="1"/>
    <n v="5"/>
    <n v="2200"/>
    <x v="171"/>
    <x v="5"/>
    <x v="1"/>
    <n v="1400"/>
    <n v="11000"/>
    <n v="4000"/>
  </r>
  <r>
    <s v="O0227"/>
    <s v="C015"/>
    <x v="9"/>
    <x v="15"/>
    <x v="1"/>
    <n v="4"/>
    <n v="1800"/>
    <x v="172"/>
    <x v="1"/>
    <x v="0"/>
    <n v="1100"/>
    <n v="7200"/>
    <n v="2800"/>
  </r>
  <r>
    <s v="O0228"/>
    <s v="C066"/>
    <x v="8"/>
    <x v="7"/>
    <x v="1"/>
    <n v="2"/>
    <n v="2200"/>
    <x v="173"/>
    <x v="5"/>
    <x v="3"/>
    <n v="1400"/>
    <n v="4400"/>
    <n v="1600"/>
  </r>
  <r>
    <s v="O0229"/>
    <s v="C111"/>
    <x v="19"/>
    <x v="0"/>
    <x v="0"/>
    <n v="1"/>
    <n v="5000"/>
    <x v="174"/>
    <x v="7"/>
    <x v="0"/>
    <n v="3200"/>
    <n v="5000"/>
    <n v="1800"/>
  </r>
  <r>
    <s v="O0230"/>
    <s v="C059"/>
    <x v="17"/>
    <x v="10"/>
    <x v="2"/>
    <n v="5"/>
    <n v="4500"/>
    <x v="49"/>
    <x v="3"/>
    <x v="1"/>
    <n v="2900"/>
    <n v="22500"/>
    <n v="8000"/>
  </r>
  <r>
    <s v="O0231"/>
    <s v="C005"/>
    <x v="16"/>
    <x v="10"/>
    <x v="2"/>
    <n v="1"/>
    <n v="4500"/>
    <x v="120"/>
    <x v="2"/>
    <x v="1"/>
    <n v="2900"/>
    <n v="4500"/>
    <n v="1600"/>
  </r>
  <r>
    <s v="O0232"/>
    <s v="C147"/>
    <x v="4"/>
    <x v="14"/>
    <x v="1"/>
    <n v="5"/>
    <n v="1500"/>
    <x v="175"/>
    <x v="6"/>
    <x v="4"/>
    <n v="900"/>
    <n v="7500"/>
    <n v="3000"/>
  </r>
  <r>
    <s v="O0233"/>
    <s v="C006"/>
    <x v="8"/>
    <x v="7"/>
    <x v="1"/>
    <n v="1"/>
    <n v="2200"/>
    <x v="176"/>
    <x v="3"/>
    <x v="0"/>
    <n v="1400"/>
    <n v="2200"/>
    <n v="800"/>
  </r>
  <r>
    <s v="O0234"/>
    <s v="C112"/>
    <x v="14"/>
    <x v="8"/>
    <x v="2"/>
    <n v="3"/>
    <n v="2800"/>
    <x v="177"/>
    <x v="4"/>
    <x v="0"/>
    <n v="1800"/>
    <n v="8400"/>
    <n v="3000"/>
  </r>
  <r>
    <s v="O0235"/>
    <s v="C135"/>
    <x v="9"/>
    <x v="17"/>
    <x v="2"/>
    <n v="5"/>
    <n v="3500"/>
    <x v="178"/>
    <x v="4"/>
    <x v="4"/>
    <n v="2300"/>
    <n v="17500"/>
    <n v="6000"/>
  </r>
  <r>
    <s v="O0236"/>
    <s v="C086"/>
    <x v="8"/>
    <x v="7"/>
    <x v="1"/>
    <n v="3"/>
    <n v="2200"/>
    <x v="179"/>
    <x v="7"/>
    <x v="1"/>
    <n v="1400"/>
    <n v="6600"/>
    <n v="2400"/>
  </r>
  <r>
    <s v="O0237"/>
    <s v="C131"/>
    <x v="19"/>
    <x v="12"/>
    <x v="2"/>
    <n v="1"/>
    <n v="1000"/>
    <x v="145"/>
    <x v="0"/>
    <x v="3"/>
    <n v="600"/>
    <n v="1000"/>
    <n v="400"/>
  </r>
  <r>
    <s v="O0238"/>
    <s v="C027"/>
    <x v="4"/>
    <x v="6"/>
    <x v="1"/>
    <n v="2"/>
    <n v="2500"/>
    <x v="72"/>
    <x v="7"/>
    <x v="3"/>
    <n v="1600"/>
    <n v="5000"/>
    <n v="1800"/>
  </r>
  <r>
    <s v="O0239"/>
    <s v="C040"/>
    <x v="12"/>
    <x v="2"/>
    <x v="1"/>
    <n v="2"/>
    <n v="800"/>
    <x v="180"/>
    <x v="4"/>
    <x v="0"/>
    <n v="450"/>
    <n v="1600"/>
    <n v="700"/>
  </r>
  <r>
    <s v="O0240"/>
    <s v="C149"/>
    <x v="1"/>
    <x v="13"/>
    <x v="2"/>
    <n v="4"/>
    <n v="1200"/>
    <x v="92"/>
    <x v="2"/>
    <x v="2"/>
    <n v="700"/>
    <n v="4800"/>
    <n v="2000"/>
  </r>
  <r>
    <s v="O0241"/>
    <s v="C113"/>
    <x v="18"/>
    <x v="14"/>
    <x v="1"/>
    <n v="3"/>
    <n v="1500"/>
    <x v="181"/>
    <x v="4"/>
    <x v="4"/>
    <n v="900"/>
    <n v="4500"/>
    <n v="1800"/>
  </r>
  <r>
    <s v="O0242"/>
    <s v="C015"/>
    <x v="9"/>
    <x v="8"/>
    <x v="2"/>
    <n v="3"/>
    <n v="2800"/>
    <x v="0"/>
    <x v="3"/>
    <x v="2"/>
    <n v="1800"/>
    <n v="8400"/>
    <n v="3000"/>
  </r>
  <r>
    <s v="O0243"/>
    <s v="C116"/>
    <x v="11"/>
    <x v="1"/>
    <x v="0"/>
    <n v="3"/>
    <n v="2500"/>
    <x v="140"/>
    <x v="1"/>
    <x v="1"/>
    <n v="1500"/>
    <n v="7500"/>
    <n v="3000"/>
  </r>
  <r>
    <s v="O0244"/>
    <s v="C024"/>
    <x v="10"/>
    <x v="6"/>
    <x v="1"/>
    <n v="3"/>
    <n v="2500"/>
    <x v="81"/>
    <x v="6"/>
    <x v="4"/>
    <n v="1600"/>
    <n v="7500"/>
    <n v="2700"/>
  </r>
  <r>
    <s v="O0245"/>
    <s v="C147"/>
    <x v="4"/>
    <x v="5"/>
    <x v="2"/>
    <n v="1"/>
    <n v="700"/>
    <x v="113"/>
    <x v="0"/>
    <x v="3"/>
    <n v="350"/>
    <n v="700"/>
    <n v="350"/>
  </r>
  <r>
    <s v="O0246"/>
    <s v="C016"/>
    <x v="11"/>
    <x v="13"/>
    <x v="2"/>
    <n v="5"/>
    <n v="1200"/>
    <x v="181"/>
    <x v="2"/>
    <x v="1"/>
    <n v="700"/>
    <n v="6000"/>
    <n v="2500"/>
  </r>
  <r>
    <s v="O0247"/>
    <s v="C045"/>
    <x v="16"/>
    <x v="14"/>
    <x v="1"/>
    <n v="1"/>
    <n v="1500"/>
    <x v="52"/>
    <x v="1"/>
    <x v="0"/>
    <n v="900"/>
    <n v="1500"/>
    <n v="600"/>
  </r>
  <r>
    <s v="O0248"/>
    <s v="C134"/>
    <x v="15"/>
    <x v="8"/>
    <x v="2"/>
    <n v="4"/>
    <n v="2800"/>
    <x v="182"/>
    <x v="7"/>
    <x v="3"/>
    <n v="1800"/>
    <n v="11200"/>
    <n v="4000"/>
  </r>
  <r>
    <s v="O0249"/>
    <s v="C105"/>
    <x v="16"/>
    <x v="6"/>
    <x v="1"/>
    <n v="3"/>
    <n v="2500"/>
    <x v="183"/>
    <x v="3"/>
    <x v="2"/>
    <n v="1600"/>
    <n v="7500"/>
    <n v="2700"/>
  </r>
  <r>
    <s v="O0250"/>
    <s v="C085"/>
    <x v="16"/>
    <x v="9"/>
    <x v="0"/>
    <n v="3"/>
    <n v="22000"/>
    <x v="109"/>
    <x v="4"/>
    <x v="2"/>
    <n v="17000"/>
    <n v="66000"/>
    <n v="15000"/>
  </r>
  <r>
    <s v="O0251"/>
    <s v="C039"/>
    <x v="17"/>
    <x v="10"/>
    <x v="2"/>
    <n v="3"/>
    <n v="4500"/>
    <x v="184"/>
    <x v="3"/>
    <x v="1"/>
    <n v="2900"/>
    <n v="13500"/>
    <n v="4800"/>
  </r>
  <r>
    <s v="O0252"/>
    <s v="C101"/>
    <x v="6"/>
    <x v="4"/>
    <x v="0"/>
    <n v="3"/>
    <n v="1800"/>
    <x v="185"/>
    <x v="7"/>
    <x v="2"/>
    <n v="1100"/>
    <n v="5400"/>
    <n v="2100"/>
  </r>
  <r>
    <s v="O0253"/>
    <s v="C097"/>
    <x v="3"/>
    <x v="1"/>
    <x v="0"/>
    <n v="3"/>
    <n v="2500"/>
    <x v="186"/>
    <x v="3"/>
    <x v="0"/>
    <n v="1500"/>
    <n v="7500"/>
    <n v="3000"/>
  </r>
  <r>
    <s v="O0254"/>
    <s v="C109"/>
    <x v="1"/>
    <x v="12"/>
    <x v="2"/>
    <n v="1"/>
    <n v="1000"/>
    <x v="187"/>
    <x v="3"/>
    <x v="1"/>
    <n v="600"/>
    <n v="1000"/>
    <n v="400"/>
  </r>
  <r>
    <s v="O0255"/>
    <s v="C055"/>
    <x v="9"/>
    <x v="6"/>
    <x v="1"/>
    <n v="3"/>
    <n v="2500"/>
    <x v="167"/>
    <x v="3"/>
    <x v="4"/>
    <n v="1600"/>
    <n v="7500"/>
    <n v="2700"/>
  </r>
  <r>
    <s v="O0256"/>
    <s v="C040"/>
    <x v="12"/>
    <x v="2"/>
    <x v="1"/>
    <n v="2"/>
    <n v="800"/>
    <x v="173"/>
    <x v="4"/>
    <x v="3"/>
    <n v="450"/>
    <n v="1600"/>
    <n v="700"/>
  </r>
  <r>
    <s v="O0257"/>
    <s v="C135"/>
    <x v="9"/>
    <x v="0"/>
    <x v="0"/>
    <n v="5"/>
    <n v="5000"/>
    <x v="31"/>
    <x v="1"/>
    <x v="3"/>
    <n v="3200"/>
    <n v="25000"/>
    <n v="9000"/>
  </r>
  <r>
    <s v="O0258"/>
    <s v="C040"/>
    <x v="12"/>
    <x v="4"/>
    <x v="0"/>
    <n v="5"/>
    <n v="1800"/>
    <x v="188"/>
    <x v="7"/>
    <x v="0"/>
    <n v="1100"/>
    <n v="9000"/>
    <n v="3500"/>
  </r>
  <r>
    <s v="O0259"/>
    <s v="C106"/>
    <x v="8"/>
    <x v="16"/>
    <x v="0"/>
    <n v="4"/>
    <n v="900"/>
    <x v="64"/>
    <x v="3"/>
    <x v="0"/>
    <n v="500"/>
    <n v="3600"/>
    <n v="1600"/>
  </r>
  <r>
    <s v="O0260"/>
    <s v="C115"/>
    <x v="9"/>
    <x v="8"/>
    <x v="2"/>
    <n v="5"/>
    <n v="2800"/>
    <x v="189"/>
    <x v="0"/>
    <x v="2"/>
    <n v="1800"/>
    <n v="14000"/>
    <n v="5000"/>
  </r>
  <r>
    <s v="O0261"/>
    <s v="C050"/>
    <x v="2"/>
    <x v="15"/>
    <x v="1"/>
    <n v="3"/>
    <n v="1800"/>
    <x v="90"/>
    <x v="3"/>
    <x v="2"/>
    <n v="1100"/>
    <n v="5400"/>
    <n v="2100"/>
  </r>
  <r>
    <s v="O0262"/>
    <s v="C098"/>
    <x v="7"/>
    <x v="8"/>
    <x v="2"/>
    <n v="4"/>
    <n v="2800"/>
    <x v="107"/>
    <x v="6"/>
    <x v="0"/>
    <n v="1800"/>
    <n v="11200"/>
    <n v="4000"/>
  </r>
  <r>
    <s v="O0263"/>
    <s v="C065"/>
    <x v="16"/>
    <x v="2"/>
    <x v="1"/>
    <n v="5"/>
    <n v="800"/>
    <x v="173"/>
    <x v="1"/>
    <x v="4"/>
    <n v="450"/>
    <n v="4000"/>
    <n v="1750"/>
  </r>
  <r>
    <s v="O0264"/>
    <s v="C133"/>
    <x v="18"/>
    <x v="6"/>
    <x v="1"/>
    <n v="5"/>
    <n v="2500"/>
    <x v="190"/>
    <x v="4"/>
    <x v="3"/>
    <n v="1600"/>
    <n v="12500"/>
    <n v="4500"/>
  </r>
  <r>
    <s v="O0265"/>
    <s v="C116"/>
    <x v="11"/>
    <x v="1"/>
    <x v="0"/>
    <n v="2"/>
    <n v="2500"/>
    <x v="51"/>
    <x v="7"/>
    <x v="4"/>
    <n v="1500"/>
    <n v="5000"/>
    <n v="2000"/>
  </r>
  <r>
    <s v="O0266"/>
    <s v="C090"/>
    <x v="2"/>
    <x v="1"/>
    <x v="0"/>
    <n v="2"/>
    <n v="2500"/>
    <x v="113"/>
    <x v="1"/>
    <x v="4"/>
    <n v="1500"/>
    <n v="5000"/>
    <n v="2000"/>
  </r>
  <r>
    <s v="O0267"/>
    <s v="C096"/>
    <x v="11"/>
    <x v="9"/>
    <x v="0"/>
    <n v="4"/>
    <n v="22000"/>
    <x v="191"/>
    <x v="0"/>
    <x v="4"/>
    <n v="17000"/>
    <n v="88000"/>
    <n v="20000"/>
  </r>
  <r>
    <s v="O0268"/>
    <s v="C008"/>
    <x v="5"/>
    <x v="1"/>
    <x v="0"/>
    <n v="3"/>
    <n v="2500"/>
    <x v="192"/>
    <x v="3"/>
    <x v="1"/>
    <n v="1500"/>
    <n v="7500"/>
    <n v="3000"/>
  </r>
  <r>
    <s v="O0269"/>
    <s v="C010"/>
    <x v="2"/>
    <x v="14"/>
    <x v="1"/>
    <n v="2"/>
    <n v="1500"/>
    <x v="173"/>
    <x v="5"/>
    <x v="4"/>
    <n v="900"/>
    <n v="3000"/>
    <n v="1200"/>
  </r>
  <r>
    <s v="O0270"/>
    <s v="C002"/>
    <x v="13"/>
    <x v="4"/>
    <x v="0"/>
    <n v="4"/>
    <n v="1800"/>
    <x v="35"/>
    <x v="4"/>
    <x v="1"/>
    <n v="1100"/>
    <n v="7200"/>
    <n v="2800"/>
  </r>
  <r>
    <s v="O0271"/>
    <s v="C141"/>
    <x v="6"/>
    <x v="3"/>
    <x v="1"/>
    <n v="2"/>
    <n v="3000"/>
    <x v="110"/>
    <x v="6"/>
    <x v="1"/>
    <n v="1900"/>
    <n v="6000"/>
    <n v="2200"/>
  </r>
  <r>
    <s v="O0272"/>
    <s v="C032"/>
    <x v="14"/>
    <x v="7"/>
    <x v="1"/>
    <n v="2"/>
    <n v="2200"/>
    <x v="193"/>
    <x v="1"/>
    <x v="0"/>
    <n v="1400"/>
    <n v="4400"/>
    <n v="1600"/>
  </r>
  <r>
    <s v="O0273"/>
    <s v="C017"/>
    <x v="3"/>
    <x v="17"/>
    <x v="2"/>
    <n v="5"/>
    <n v="3500"/>
    <x v="194"/>
    <x v="4"/>
    <x v="4"/>
    <n v="2300"/>
    <n v="17500"/>
    <n v="6000"/>
  </r>
  <r>
    <s v="O0274"/>
    <s v="C132"/>
    <x v="14"/>
    <x v="5"/>
    <x v="2"/>
    <n v="1"/>
    <n v="700"/>
    <x v="195"/>
    <x v="0"/>
    <x v="0"/>
    <n v="350"/>
    <n v="700"/>
    <n v="350"/>
  </r>
  <r>
    <s v="O0275"/>
    <s v="C091"/>
    <x v="19"/>
    <x v="7"/>
    <x v="1"/>
    <n v="4"/>
    <n v="2200"/>
    <x v="23"/>
    <x v="0"/>
    <x v="2"/>
    <n v="1400"/>
    <n v="8800"/>
    <n v="3200"/>
  </r>
  <r>
    <s v="O0276"/>
    <s v="C022"/>
    <x v="13"/>
    <x v="17"/>
    <x v="2"/>
    <n v="2"/>
    <n v="3500"/>
    <x v="196"/>
    <x v="3"/>
    <x v="1"/>
    <n v="2300"/>
    <n v="7000"/>
    <n v="2400"/>
  </r>
  <r>
    <s v="O0277"/>
    <s v="C130"/>
    <x v="2"/>
    <x v="12"/>
    <x v="2"/>
    <n v="5"/>
    <n v="1000"/>
    <x v="130"/>
    <x v="1"/>
    <x v="4"/>
    <n v="600"/>
    <n v="5000"/>
    <n v="2000"/>
  </r>
  <r>
    <s v="O0278"/>
    <s v="C100"/>
    <x v="12"/>
    <x v="13"/>
    <x v="2"/>
    <n v="1"/>
    <n v="1200"/>
    <x v="148"/>
    <x v="3"/>
    <x v="3"/>
    <n v="700"/>
    <n v="1200"/>
    <n v="500"/>
  </r>
  <r>
    <s v="O0279"/>
    <s v="C089"/>
    <x v="1"/>
    <x v="11"/>
    <x v="0"/>
    <n v="3"/>
    <n v="55000"/>
    <x v="197"/>
    <x v="0"/>
    <x v="1"/>
    <n v="42000"/>
    <n v="165000"/>
    <n v="39000"/>
  </r>
  <r>
    <s v="O0280"/>
    <s v="C091"/>
    <x v="19"/>
    <x v="14"/>
    <x v="1"/>
    <n v="2"/>
    <n v="1500"/>
    <x v="64"/>
    <x v="3"/>
    <x v="0"/>
    <n v="900"/>
    <n v="3000"/>
    <n v="1200"/>
  </r>
  <r>
    <s v="O0281"/>
    <s v="C047"/>
    <x v="4"/>
    <x v="8"/>
    <x v="2"/>
    <n v="4"/>
    <n v="2800"/>
    <x v="195"/>
    <x v="7"/>
    <x v="1"/>
    <n v="1800"/>
    <n v="11200"/>
    <n v="4000"/>
  </r>
  <r>
    <s v="O0282"/>
    <s v="C052"/>
    <x v="14"/>
    <x v="8"/>
    <x v="2"/>
    <n v="1"/>
    <n v="2800"/>
    <x v="104"/>
    <x v="1"/>
    <x v="0"/>
    <n v="1800"/>
    <n v="2800"/>
    <n v="1000"/>
  </r>
  <r>
    <s v="O0283"/>
    <s v="C132"/>
    <x v="14"/>
    <x v="9"/>
    <x v="0"/>
    <n v="3"/>
    <n v="22000"/>
    <x v="185"/>
    <x v="6"/>
    <x v="2"/>
    <n v="17000"/>
    <n v="66000"/>
    <n v="15000"/>
  </r>
  <r>
    <s v="O0284"/>
    <s v="C049"/>
    <x v="1"/>
    <x v="13"/>
    <x v="2"/>
    <n v="3"/>
    <n v="1200"/>
    <x v="134"/>
    <x v="5"/>
    <x v="3"/>
    <n v="700"/>
    <n v="3600"/>
    <n v="1500"/>
  </r>
  <r>
    <s v="O0285"/>
    <s v="C032"/>
    <x v="14"/>
    <x v="9"/>
    <x v="0"/>
    <n v="3"/>
    <n v="22000"/>
    <x v="51"/>
    <x v="3"/>
    <x v="4"/>
    <n v="17000"/>
    <n v="66000"/>
    <n v="15000"/>
  </r>
  <r>
    <s v="O0286"/>
    <s v="C087"/>
    <x v="4"/>
    <x v="10"/>
    <x v="2"/>
    <n v="4"/>
    <n v="4500"/>
    <x v="198"/>
    <x v="7"/>
    <x v="4"/>
    <n v="2900"/>
    <n v="18000"/>
    <n v="6400"/>
  </r>
  <r>
    <s v="O0287"/>
    <s v="C069"/>
    <x v="1"/>
    <x v="13"/>
    <x v="2"/>
    <n v="3"/>
    <n v="1200"/>
    <x v="199"/>
    <x v="4"/>
    <x v="4"/>
    <n v="700"/>
    <n v="3600"/>
    <n v="1500"/>
  </r>
  <r>
    <s v="O0288"/>
    <s v="C047"/>
    <x v="4"/>
    <x v="1"/>
    <x v="0"/>
    <n v="4"/>
    <n v="2500"/>
    <x v="180"/>
    <x v="5"/>
    <x v="3"/>
    <n v="1500"/>
    <n v="10000"/>
    <n v="4000"/>
  </r>
  <r>
    <s v="O0289"/>
    <s v="C076"/>
    <x v="11"/>
    <x v="0"/>
    <x v="0"/>
    <n v="1"/>
    <n v="5000"/>
    <x v="200"/>
    <x v="5"/>
    <x v="4"/>
    <n v="3200"/>
    <n v="5000"/>
    <n v="1800"/>
  </r>
  <r>
    <s v="O0290"/>
    <s v="C114"/>
    <x v="15"/>
    <x v="17"/>
    <x v="2"/>
    <n v="2"/>
    <n v="3500"/>
    <x v="201"/>
    <x v="3"/>
    <x v="4"/>
    <n v="2300"/>
    <n v="7000"/>
    <n v="2400"/>
  </r>
  <r>
    <s v="O0291"/>
    <s v="C112"/>
    <x v="14"/>
    <x v="9"/>
    <x v="0"/>
    <n v="3"/>
    <n v="22000"/>
    <x v="158"/>
    <x v="5"/>
    <x v="1"/>
    <n v="17000"/>
    <n v="66000"/>
    <n v="15000"/>
  </r>
  <r>
    <s v="O0292"/>
    <s v="C132"/>
    <x v="14"/>
    <x v="1"/>
    <x v="0"/>
    <n v="4"/>
    <n v="2500"/>
    <x v="65"/>
    <x v="7"/>
    <x v="1"/>
    <n v="1500"/>
    <n v="10000"/>
    <n v="4000"/>
  </r>
  <r>
    <s v="O0293"/>
    <s v="C113"/>
    <x v="18"/>
    <x v="4"/>
    <x v="0"/>
    <n v="5"/>
    <n v="1800"/>
    <x v="202"/>
    <x v="1"/>
    <x v="0"/>
    <n v="1100"/>
    <n v="9000"/>
    <n v="3500"/>
  </r>
  <r>
    <s v="O0294"/>
    <s v="C094"/>
    <x v="15"/>
    <x v="1"/>
    <x v="0"/>
    <n v="2"/>
    <n v="2500"/>
    <x v="187"/>
    <x v="3"/>
    <x v="4"/>
    <n v="1500"/>
    <n v="5000"/>
    <n v="2000"/>
  </r>
  <r>
    <s v="O0295"/>
    <s v="C116"/>
    <x v="11"/>
    <x v="9"/>
    <x v="0"/>
    <n v="5"/>
    <n v="22000"/>
    <x v="17"/>
    <x v="3"/>
    <x v="3"/>
    <n v="17000"/>
    <n v="110000"/>
    <n v="25000"/>
  </r>
  <r>
    <s v="O0296"/>
    <s v="C036"/>
    <x v="11"/>
    <x v="8"/>
    <x v="2"/>
    <n v="1"/>
    <n v="2800"/>
    <x v="203"/>
    <x v="3"/>
    <x v="4"/>
    <n v="1800"/>
    <n v="2800"/>
    <n v="1000"/>
  </r>
  <r>
    <s v="O0297"/>
    <s v="C030"/>
    <x v="2"/>
    <x v="14"/>
    <x v="1"/>
    <n v="3"/>
    <n v="1500"/>
    <x v="36"/>
    <x v="1"/>
    <x v="0"/>
    <n v="900"/>
    <n v="4500"/>
    <n v="1800"/>
  </r>
  <r>
    <s v="O0298"/>
    <s v="C144"/>
    <x v="10"/>
    <x v="13"/>
    <x v="2"/>
    <n v="5"/>
    <n v="1200"/>
    <x v="183"/>
    <x v="4"/>
    <x v="3"/>
    <n v="700"/>
    <n v="6000"/>
    <n v="2500"/>
  </r>
  <r>
    <s v="O0299"/>
    <s v="C074"/>
    <x v="15"/>
    <x v="3"/>
    <x v="1"/>
    <n v="4"/>
    <n v="3000"/>
    <x v="204"/>
    <x v="2"/>
    <x v="0"/>
    <n v="1900"/>
    <n v="12000"/>
    <n v="4400"/>
  </r>
  <r>
    <s v="O0300"/>
    <s v="C116"/>
    <x v="11"/>
    <x v="0"/>
    <x v="0"/>
    <n v="2"/>
    <n v="5000"/>
    <x v="160"/>
    <x v="7"/>
    <x v="4"/>
    <n v="3200"/>
    <n v="10000"/>
    <n v="3600"/>
  </r>
  <r>
    <s v="O0301"/>
    <s v="C089"/>
    <x v="1"/>
    <x v="1"/>
    <x v="0"/>
    <n v="3"/>
    <n v="2500"/>
    <x v="205"/>
    <x v="4"/>
    <x v="2"/>
    <n v="1500"/>
    <n v="7500"/>
    <n v="3000"/>
  </r>
  <r>
    <s v="O0302"/>
    <s v="C041"/>
    <x v="6"/>
    <x v="5"/>
    <x v="2"/>
    <n v="3"/>
    <n v="700"/>
    <x v="66"/>
    <x v="7"/>
    <x v="3"/>
    <n v="350"/>
    <n v="2100"/>
    <n v="1050"/>
  </r>
  <r>
    <s v="O0303"/>
    <s v="C052"/>
    <x v="14"/>
    <x v="12"/>
    <x v="2"/>
    <n v="2"/>
    <n v="1000"/>
    <x v="77"/>
    <x v="7"/>
    <x v="0"/>
    <n v="600"/>
    <n v="2000"/>
    <n v="800"/>
  </r>
  <r>
    <s v="O0304"/>
    <s v="C142"/>
    <x v="13"/>
    <x v="13"/>
    <x v="2"/>
    <n v="1"/>
    <n v="1200"/>
    <x v="206"/>
    <x v="3"/>
    <x v="4"/>
    <n v="700"/>
    <n v="1200"/>
    <n v="500"/>
  </r>
  <r>
    <s v="O0305"/>
    <s v="C023"/>
    <x v="0"/>
    <x v="5"/>
    <x v="2"/>
    <n v="2"/>
    <n v="700"/>
    <x v="207"/>
    <x v="4"/>
    <x v="3"/>
    <n v="350"/>
    <n v="1400"/>
    <n v="700"/>
  </r>
  <r>
    <s v="O0306"/>
    <s v="C106"/>
    <x v="8"/>
    <x v="10"/>
    <x v="2"/>
    <n v="4"/>
    <n v="4500"/>
    <x v="135"/>
    <x v="6"/>
    <x v="2"/>
    <n v="2900"/>
    <n v="18000"/>
    <n v="6400"/>
  </r>
  <r>
    <s v="O0307"/>
    <s v="C019"/>
    <x v="17"/>
    <x v="1"/>
    <x v="0"/>
    <n v="2"/>
    <n v="2500"/>
    <x v="133"/>
    <x v="2"/>
    <x v="4"/>
    <n v="1500"/>
    <n v="5000"/>
    <n v="2000"/>
  </r>
  <r>
    <s v="O0308"/>
    <s v="C142"/>
    <x v="13"/>
    <x v="12"/>
    <x v="2"/>
    <n v="3"/>
    <n v="1000"/>
    <x v="208"/>
    <x v="7"/>
    <x v="0"/>
    <n v="600"/>
    <n v="3000"/>
    <n v="1200"/>
  </r>
  <r>
    <s v="O0309"/>
    <s v="C032"/>
    <x v="14"/>
    <x v="17"/>
    <x v="2"/>
    <n v="5"/>
    <n v="3500"/>
    <x v="209"/>
    <x v="7"/>
    <x v="3"/>
    <n v="2300"/>
    <n v="17500"/>
    <n v="6000"/>
  </r>
  <r>
    <s v="O0310"/>
    <s v="C058"/>
    <x v="7"/>
    <x v="16"/>
    <x v="0"/>
    <n v="2"/>
    <n v="900"/>
    <x v="118"/>
    <x v="3"/>
    <x v="2"/>
    <n v="500"/>
    <n v="1800"/>
    <n v="800"/>
  </r>
  <r>
    <s v="O0311"/>
    <s v="C051"/>
    <x v="19"/>
    <x v="7"/>
    <x v="1"/>
    <n v="1"/>
    <n v="2200"/>
    <x v="210"/>
    <x v="5"/>
    <x v="0"/>
    <n v="1400"/>
    <n v="2200"/>
    <n v="800"/>
  </r>
  <r>
    <s v="O0312"/>
    <s v="C024"/>
    <x v="10"/>
    <x v="7"/>
    <x v="1"/>
    <n v="5"/>
    <n v="2200"/>
    <x v="211"/>
    <x v="7"/>
    <x v="2"/>
    <n v="1400"/>
    <n v="11000"/>
    <n v="4000"/>
  </r>
  <r>
    <s v="O0313"/>
    <s v="C087"/>
    <x v="4"/>
    <x v="4"/>
    <x v="0"/>
    <n v="2"/>
    <n v="1800"/>
    <x v="71"/>
    <x v="1"/>
    <x v="1"/>
    <n v="1100"/>
    <n v="3600"/>
    <n v="1400"/>
  </r>
  <r>
    <s v="O0314"/>
    <s v="C148"/>
    <x v="5"/>
    <x v="1"/>
    <x v="0"/>
    <n v="1"/>
    <n v="2500"/>
    <x v="212"/>
    <x v="5"/>
    <x v="0"/>
    <n v="1500"/>
    <n v="2500"/>
    <n v="1000"/>
  </r>
  <r>
    <s v="O0315"/>
    <s v="C008"/>
    <x v="5"/>
    <x v="17"/>
    <x v="2"/>
    <n v="5"/>
    <n v="3500"/>
    <x v="213"/>
    <x v="2"/>
    <x v="2"/>
    <n v="2300"/>
    <n v="17500"/>
    <n v="6000"/>
  </r>
  <r>
    <s v="O0316"/>
    <s v="C063"/>
    <x v="0"/>
    <x v="7"/>
    <x v="1"/>
    <n v="3"/>
    <n v="2200"/>
    <x v="214"/>
    <x v="6"/>
    <x v="3"/>
    <n v="1400"/>
    <n v="6600"/>
    <n v="2400"/>
  </r>
  <r>
    <s v="O0317"/>
    <s v="C016"/>
    <x v="11"/>
    <x v="8"/>
    <x v="2"/>
    <n v="1"/>
    <n v="2800"/>
    <x v="116"/>
    <x v="7"/>
    <x v="4"/>
    <n v="1800"/>
    <n v="2800"/>
    <n v="1000"/>
  </r>
  <r>
    <s v="O0318"/>
    <s v="C053"/>
    <x v="18"/>
    <x v="17"/>
    <x v="2"/>
    <n v="4"/>
    <n v="3500"/>
    <x v="215"/>
    <x v="3"/>
    <x v="2"/>
    <n v="2300"/>
    <n v="14000"/>
    <n v="4800"/>
  </r>
  <r>
    <s v="O0319"/>
    <s v="C089"/>
    <x v="1"/>
    <x v="4"/>
    <x v="0"/>
    <n v="3"/>
    <n v="1800"/>
    <x v="216"/>
    <x v="6"/>
    <x v="0"/>
    <n v="1100"/>
    <n v="5400"/>
    <n v="2100"/>
  </r>
  <r>
    <s v="O0320"/>
    <s v="C028"/>
    <x v="5"/>
    <x v="6"/>
    <x v="1"/>
    <n v="5"/>
    <n v="2500"/>
    <x v="166"/>
    <x v="3"/>
    <x v="0"/>
    <n v="1600"/>
    <n v="12500"/>
    <n v="4500"/>
  </r>
  <r>
    <s v="O0321"/>
    <s v="C116"/>
    <x v="11"/>
    <x v="8"/>
    <x v="2"/>
    <n v="1"/>
    <n v="2800"/>
    <x v="217"/>
    <x v="0"/>
    <x v="0"/>
    <n v="1800"/>
    <n v="2800"/>
    <n v="1000"/>
  </r>
  <r>
    <s v="O0322"/>
    <s v="C099"/>
    <x v="17"/>
    <x v="0"/>
    <x v="0"/>
    <n v="1"/>
    <n v="5000"/>
    <x v="218"/>
    <x v="6"/>
    <x v="0"/>
    <n v="3200"/>
    <n v="5000"/>
    <n v="1800"/>
  </r>
  <r>
    <s v="O0323"/>
    <s v="C081"/>
    <x v="6"/>
    <x v="16"/>
    <x v="0"/>
    <n v="3"/>
    <n v="900"/>
    <x v="219"/>
    <x v="0"/>
    <x v="0"/>
    <n v="500"/>
    <n v="2700"/>
    <n v="1200"/>
  </r>
  <r>
    <s v="O0324"/>
    <s v="C128"/>
    <x v="5"/>
    <x v="13"/>
    <x v="2"/>
    <n v="5"/>
    <n v="1200"/>
    <x v="87"/>
    <x v="5"/>
    <x v="4"/>
    <n v="700"/>
    <n v="6000"/>
    <n v="2500"/>
  </r>
  <r>
    <s v="O0325"/>
    <s v="C130"/>
    <x v="2"/>
    <x v="11"/>
    <x v="0"/>
    <n v="1"/>
    <n v="55000"/>
    <x v="220"/>
    <x v="2"/>
    <x v="0"/>
    <n v="42000"/>
    <n v="55000"/>
    <n v="13000"/>
  </r>
  <r>
    <s v="O0326"/>
    <s v="C013"/>
    <x v="18"/>
    <x v="2"/>
    <x v="1"/>
    <n v="5"/>
    <n v="800"/>
    <x v="106"/>
    <x v="1"/>
    <x v="3"/>
    <n v="450"/>
    <n v="4000"/>
    <n v="1750"/>
  </r>
  <r>
    <s v="O0327"/>
    <s v="C121"/>
    <x v="6"/>
    <x v="13"/>
    <x v="2"/>
    <n v="5"/>
    <n v="1200"/>
    <x v="221"/>
    <x v="5"/>
    <x v="2"/>
    <n v="700"/>
    <n v="6000"/>
    <n v="2500"/>
  </r>
  <r>
    <s v="O0328"/>
    <s v="C035"/>
    <x v="9"/>
    <x v="11"/>
    <x v="0"/>
    <n v="1"/>
    <n v="55000"/>
    <x v="56"/>
    <x v="5"/>
    <x v="3"/>
    <n v="42000"/>
    <n v="55000"/>
    <n v="13000"/>
  </r>
  <r>
    <s v="O0329"/>
    <s v="C103"/>
    <x v="0"/>
    <x v="10"/>
    <x v="2"/>
    <n v="3"/>
    <n v="4500"/>
    <x v="73"/>
    <x v="1"/>
    <x v="2"/>
    <n v="2900"/>
    <n v="13500"/>
    <n v="4800"/>
  </r>
  <r>
    <s v="O0330"/>
    <s v="C142"/>
    <x v="13"/>
    <x v="5"/>
    <x v="2"/>
    <n v="2"/>
    <n v="700"/>
    <x v="151"/>
    <x v="5"/>
    <x v="1"/>
    <n v="350"/>
    <n v="1400"/>
    <n v="700"/>
  </r>
  <r>
    <s v="O0331"/>
    <s v="C141"/>
    <x v="6"/>
    <x v="10"/>
    <x v="2"/>
    <n v="5"/>
    <n v="4500"/>
    <x v="113"/>
    <x v="5"/>
    <x v="2"/>
    <n v="2900"/>
    <n v="22500"/>
    <n v="8000"/>
  </r>
  <r>
    <s v="O0332"/>
    <s v="C101"/>
    <x v="6"/>
    <x v="0"/>
    <x v="0"/>
    <n v="2"/>
    <n v="5000"/>
    <x v="222"/>
    <x v="3"/>
    <x v="3"/>
    <n v="3200"/>
    <n v="10000"/>
    <n v="3600"/>
  </r>
  <r>
    <s v="O0333"/>
    <s v="C051"/>
    <x v="19"/>
    <x v="5"/>
    <x v="2"/>
    <n v="3"/>
    <n v="700"/>
    <x v="14"/>
    <x v="6"/>
    <x v="2"/>
    <n v="350"/>
    <n v="2100"/>
    <n v="1050"/>
  </r>
  <r>
    <s v="O0334"/>
    <s v="C036"/>
    <x v="11"/>
    <x v="9"/>
    <x v="0"/>
    <n v="1"/>
    <n v="22000"/>
    <x v="223"/>
    <x v="3"/>
    <x v="4"/>
    <n v="17000"/>
    <n v="22000"/>
    <n v="5000"/>
  </r>
  <r>
    <s v="O0335"/>
    <s v="C132"/>
    <x v="14"/>
    <x v="12"/>
    <x v="2"/>
    <n v="4"/>
    <n v="1000"/>
    <x v="110"/>
    <x v="7"/>
    <x v="3"/>
    <n v="600"/>
    <n v="4000"/>
    <n v="1600"/>
  </r>
  <r>
    <s v="O0336"/>
    <s v="C077"/>
    <x v="3"/>
    <x v="14"/>
    <x v="1"/>
    <n v="2"/>
    <n v="1500"/>
    <x v="220"/>
    <x v="3"/>
    <x v="2"/>
    <n v="900"/>
    <n v="3000"/>
    <n v="1200"/>
  </r>
  <r>
    <s v="O0337"/>
    <s v="C145"/>
    <x v="16"/>
    <x v="12"/>
    <x v="2"/>
    <n v="5"/>
    <n v="1000"/>
    <x v="224"/>
    <x v="5"/>
    <x v="4"/>
    <n v="600"/>
    <n v="5000"/>
    <n v="2000"/>
  </r>
  <r>
    <s v="O0338"/>
    <s v="C029"/>
    <x v="1"/>
    <x v="11"/>
    <x v="0"/>
    <n v="3"/>
    <n v="55000"/>
    <x v="83"/>
    <x v="6"/>
    <x v="2"/>
    <n v="42000"/>
    <n v="165000"/>
    <n v="39000"/>
  </r>
  <r>
    <s v="O0339"/>
    <s v="C122"/>
    <x v="13"/>
    <x v="7"/>
    <x v="1"/>
    <n v="1"/>
    <n v="2200"/>
    <x v="168"/>
    <x v="5"/>
    <x v="2"/>
    <n v="1400"/>
    <n v="2200"/>
    <n v="800"/>
  </r>
  <r>
    <s v="O0340"/>
    <s v="C123"/>
    <x v="0"/>
    <x v="15"/>
    <x v="1"/>
    <n v="1"/>
    <n v="1800"/>
    <x v="225"/>
    <x v="7"/>
    <x v="2"/>
    <n v="1100"/>
    <n v="1800"/>
    <n v="700"/>
  </r>
  <r>
    <s v="O0341"/>
    <s v="C063"/>
    <x v="0"/>
    <x v="10"/>
    <x v="2"/>
    <n v="2"/>
    <n v="4500"/>
    <x v="226"/>
    <x v="1"/>
    <x v="2"/>
    <n v="2900"/>
    <n v="9000"/>
    <n v="3200"/>
  </r>
  <r>
    <s v="O0342"/>
    <s v="C113"/>
    <x v="18"/>
    <x v="0"/>
    <x v="0"/>
    <n v="2"/>
    <n v="5000"/>
    <x v="227"/>
    <x v="3"/>
    <x v="4"/>
    <n v="3200"/>
    <n v="10000"/>
    <n v="3600"/>
  </r>
  <r>
    <s v="O0343"/>
    <s v="C053"/>
    <x v="18"/>
    <x v="4"/>
    <x v="0"/>
    <n v="4"/>
    <n v="1800"/>
    <x v="201"/>
    <x v="6"/>
    <x v="2"/>
    <n v="1100"/>
    <n v="7200"/>
    <n v="2800"/>
  </r>
  <r>
    <s v="O0344"/>
    <s v="C036"/>
    <x v="11"/>
    <x v="13"/>
    <x v="2"/>
    <n v="1"/>
    <n v="1200"/>
    <x v="114"/>
    <x v="0"/>
    <x v="2"/>
    <n v="700"/>
    <n v="1200"/>
    <n v="500"/>
  </r>
  <r>
    <s v="O0345"/>
    <s v="C097"/>
    <x v="3"/>
    <x v="14"/>
    <x v="1"/>
    <n v="4"/>
    <n v="1500"/>
    <x v="135"/>
    <x v="3"/>
    <x v="0"/>
    <n v="900"/>
    <n v="6000"/>
    <n v="2400"/>
  </r>
  <r>
    <s v="O0346"/>
    <s v="C140"/>
    <x v="12"/>
    <x v="8"/>
    <x v="2"/>
    <n v="5"/>
    <n v="2800"/>
    <x v="228"/>
    <x v="3"/>
    <x v="3"/>
    <n v="1800"/>
    <n v="14000"/>
    <n v="5000"/>
  </r>
  <r>
    <s v="O0347"/>
    <s v="C072"/>
    <x v="14"/>
    <x v="13"/>
    <x v="2"/>
    <n v="2"/>
    <n v="1200"/>
    <x v="80"/>
    <x v="5"/>
    <x v="0"/>
    <n v="700"/>
    <n v="2400"/>
    <n v="1000"/>
  </r>
  <r>
    <s v="O0348"/>
    <s v="C054"/>
    <x v="15"/>
    <x v="7"/>
    <x v="1"/>
    <n v="3"/>
    <n v="2200"/>
    <x v="49"/>
    <x v="2"/>
    <x v="3"/>
    <n v="1400"/>
    <n v="6600"/>
    <n v="2400"/>
  </r>
  <r>
    <s v="O0349"/>
    <s v="C071"/>
    <x v="19"/>
    <x v="13"/>
    <x v="2"/>
    <n v="3"/>
    <n v="1200"/>
    <x v="186"/>
    <x v="5"/>
    <x v="1"/>
    <n v="700"/>
    <n v="3600"/>
    <n v="1500"/>
  </r>
  <r>
    <s v="O0350"/>
    <s v="C089"/>
    <x v="1"/>
    <x v="5"/>
    <x v="2"/>
    <n v="4"/>
    <n v="700"/>
    <x v="229"/>
    <x v="7"/>
    <x v="3"/>
    <n v="350"/>
    <n v="2800"/>
    <n v="1400"/>
  </r>
  <r>
    <s v="O0351"/>
    <s v="C089"/>
    <x v="1"/>
    <x v="9"/>
    <x v="0"/>
    <n v="3"/>
    <n v="22000"/>
    <x v="230"/>
    <x v="2"/>
    <x v="3"/>
    <n v="17000"/>
    <n v="66000"/>
    <n v="15000"/>
  </r>
  <r>
    <s v="O0352"/>
    <s v="C138"/>
    <x v="7"/>
    <x v="13"/>
    <x v="2"/>
    <n v="2"/>
    <n v="1200"/>
    <x v="231"/>
    <x v="5"/>
    <x v="2"/>
    <n v="700"/>
    <n v="2400"/>
    <n v="1000"/>
  </r>
  <r>
    <s v="O0353"/>
    <s v="C062"/>
    <x v="13"/>
    <x v="3"/>
    <x v="1"/>
    <n v="2"/>
    <n v="3000"/>
    <x v="62"/>
    <x v="0"/>
    <x v="1"/>
    <n v="1900"/>
    <n v="6000"/>
    <n v="2200"/>
  </r>
  <r>
    <s v="O0354"/>
    <s v="C060"/>
    <x v="12"/>
    <x v="12"/>
    <x v="2"/>
    <n v="2"/>
    <n v="1000"/>
    <x v="232"/>
    <x v="1"/>
    <x v="1"/>
    <n v="600"/>
    <n v="2000"/>
    <n v="800"/>
  </r>
  <r>
    <s v="O0355"/>
    <s v="C026"/>
    <x v="8"/>
    <x v="17"/>
    <x v="2"/>
    <n v="3"/>
    <n v="3500"/>
    <x v="233"/>
    <x v="7"/>
    <x v="1"/>
    <n v="2300"/>
    <n v="10500"/>
    <n v="3600"/>
  </r>
  <r>
    <s v="O0356"/>
    <s v="C122"/>
    <x v="13"/>
    <x v="5"/>
    <x v="2"/>
    <n v="2"/>
    <n v="700"/>
    <x v="38"/>
    <x v="2"/>
    <x v="0"/>
    <n v="350"/>
    <n v="1400"/>
    <n v="700"/>
  </r>
  <r>
    <s v="O0357"/>
    <s v="C016"/>
    <x v="11"/>
    <x v="7"/>
    <x v="1"/>
    <n v="3"/>
    <n v="2200"/>
    <x v="39"/>
    <x v="4"/>
    <x v="2"/>
    <n v="1400"/>
    <n v="6600"/>
    <n v="2400"/>
  </r>
  <r>
    <s v="O0358"/>
    <s v="C045"/>
    <x v="16"/>
    <x v="15"/>
    <x v="1"/>
    <n v="5"/>
    <n v="1800"/>
    <x v="223"/>
    <x v="6"/>
    <x v="0"/>
    <n v="1100"/>
    <n v="9000"/>
    <n v="3500"/>
  </r>
  <r>
    <s v="O0359"/>
    <s v="C048"/>
    <x v="5"/>
    <x v="9"/>
    <x v="0"/>
    <n v="4"/>
    <n v="22000"/>
    <x v="234"/>
    <x v="5"/>
    <x v="1"/>
    <n v="17000"/>
    <n v="88000"/>
    <n v="20000"/>
  </r>
  <r>
    <s v="O0360"/>
    <s v="C028"/>
    <x v="5"/>
    <x v="11"/>
    <x v="0"/>
    <n v="3"/>
    <n v="55000"/>
    <x v="13"/>
    <x v="3"/>
    <x v="3"/>
    <n v="42000"/>
    <n v="165000"/>
    <n v="39000"/>
  </r>
  <r>
    <s v="O0361"/>
    <s v="C127"/>
    <x v="4"/>
    <x v="8"/>
    <x v="2"/>
    <n v="5"/>
    <n v="2800"/>
    <x v="182"/>
    <x v="7"/>
    <x v="2"/>
    <n v="1800"/>
    <n v="14000"/>
    <n v="5000"/>
  </r>
  <r>
    <s v="O0362"/>
    <s v="C029"/>
    <x v="1"/>
    <x v="8"/>
    <x v="2"/>
    <n v="3"/>
    <n v="2800"/>
    <x v="8"/>
    <x v="3"/>
    <x v="0"/>
    <n v="1800"/>
    <n v="8400"/>
    <n v="3000"/>
  </r>
  <r>
    <s v="O0363"/>
    <s v="C004"/>
    <x v="10"/>
    <x v="8"/>
    <x v="2"/>
    <n v="3"/>
    <n v="2800"/>
    <x v="42"/>
    <x v="3"/>
    <x v="3"/>
    <n v="1800"/>
    <n v="8400"/>
    <n v="3000"/>
  </r>
  <r>
    <s v="O0364"/>
    <s v="C104"/>
    <x v="10"/>
    <x v="2"/>
    <x v="1"/>
    <n v="2"/>
    <n v="800"/>
    <x v="235"/>
    <x v="6"/>
    <x v="2"/>
    <n v="450"/>
    <n v="1600"/>
    <n v="700"/>
  </r>
  <r>
    <s v="O0365"/>
    <s v="C025"/>
    <x v="16"/>
    <x v="14"/>
    <x v="1"/>
    <n v="1"/>
    <n v="1500"/>
    <x v="178"/>
    <x v="7"/>
    <x v="0"/>
    <n v="900"/>
    <n v="1500"/>
    <n v="600"/>
  </r>
  <r>
    <s v="O0366"/>
    <s v="C002"/>
    <x v="13"/>
    <x v="13"/>
    <x v="2"/>
    <n v="3"/>
    <n v="1200"/>
    <x v="36"/>
    <x v="5"/>
    <x v="4"/>
    <n v="700"/>
    <n v="3600"/>
    <n v="1500"/>
  </r>
  <r>
    <s v="O0367"/>
    <s v="C085"/>
    <x v="16"/>
    <x v="15"/>
    <x v="1"/>
    <n v="4"/>
    <n v="1800"/>
    <x v="217"/>
    <x v="5"/>
    <x v="2"/>
    <n v="1100"/>
    <n v="7200"/>
    <n v="2800"/>
  </r>
  <r>
    <s v="O0368"/>
    <s v="C093"/>
    <x v="18"/>
    <x v="11"/>
    <x v="0"/>
    <n v="3"/>
    <n v="55000"/>
    <x v="221"/>
    <x v="0"/>
    <x v="1"/>
    <n v="42000"/>
    <n v="165000"/>
    <n v="39000"/>
  </r>
  <r>
    <s v="O0369"/>
    <s v="C041"/>
    <x v="6"/>
    <x v="0"/>
    <x v="0"/>
    <n v="4"/>
    <n v="5000"/>
    <x v="24"/>
    <x v="6"/>
    <x v="2"/>
    <n v="3200"/>
    <n v="20000"/>
    <n v="7200"/>
  </r>
  <r>
    <s v="O0370"/>
    <s v="C076"/>
    <x v="11"/>
    <x v="7"/>
    <x v="1"/>
    <n v="1"/>
    <n v="2200"/>
    <x v="213"/>
    <x v="3"/>
    <x v="2"/>
    <n v="1400"/>
    <n v="2200"/>
    <n v="800"/>
  </r>
  <r>
    <s v="O0371"/>
    <s v="C123"/>
    <x v="0"/>
    <x v="15"/>
    <x v="1"/>
    <n v="2"/>
    <n v="1800"/>
    <x v="50"/>
    <x v="7"/>
    <x v="4"/>
    <n v="1100"/>
    <n v="3600"/>
    <n v="1400"/>
  </r>
  <r>
    <s v="O0372"/>
    <s v="C141"/>
    <x v="6"/>
    <x v="6"/>
    <x v="1"/>
    <n v="4"/>
    <n v="2500"/>
    <x v="236"/>
    <x v="2"/>
    <x v="2"/>
    <n v="1600"/>
    <n v="10000"/>
    <n v="3600"/>
  </r>
  <r>
    <s v="O0373"/>
    <s v="C021"/>
    <x v="6"/>
    <x v="2"/>
    <x v="1"/>
    <n v="2"/>
    <n v="800"/>
    <x v="226"/>
    <x v="2"/>
    <x v="2"/>
    <n v="450"/>
    <n v="1600"/>
    <n v="700"/>
  </r>
  <r>
    <s v="O0374"/>
    <s v="C029"/>
    <x v="1"/>
    <x v="6"/>
    <x v="1"/>
    <n v="1"/>
    <n v="2500"/>
    <x v="92"/>
    <x v="1"/>
    <x v="2"/>
    <n v="1600"/>
    <n v="2500"/>
    <n v="900"/>
  </r>
  <r>
    <s v="O0375"/>
    <s v="C138"/>
    <x v="7"/>
    <x v="12"/>
    <x v="2"/>
    <n v="2"/>
    <n v="1000"/>
    <x v="203"/>
    <x v="7"/>
    <x v="0"/>
    <n v="600"/>
    <n v="2000"/>
    <n v="800"/>
  </r>
  <r>
    <s v="O0376"/>
    <s v="C030"/>
    <x v="2"/>
    <x v="14"/>
    <x v="1"/>
    <n v="5"/>
    <n v="1500"/>
    <x v="70"/>
    <x v="0"/>
    <x v="2"/>
    <n v="900"/>
    <n v="7500"/>
    <n v="3000"/>
  </r>
  <r>
    <s v="O0377"/>
    <s v="C115"/>
    <x v="9"/>
    <x v="13"/>
    <x v="2"/>
    <n v="1"/>
    <n v="1200"/>
    <x v="63"/>
    <x v="1"/>
    <x v="4"/>
    <n v="700"/>
    <n v="1200"/>
    <n v="500"/>
  </r>
  <r>
    <s v="O0378"/>
    <s v="C117"/>
    <x v="3"/>
    <x v="4"/>
    <x v="0"/>
    <n v="5"/>
    <n v="1800"/>
    <x v="74"/>
    <x v="1"/>
    <x v="2"/>
    <n v="1100"/>
    <n v="9000"/>
    <n v="3500"/>
  </r>
  <r>
    <s v="O0379"/>
    <s v="C102"/>
    <x v="13"/>
    <x v="8"/>
    <x v="2"/>
    <n v="3"/>
    <n v="2800"/>
    <x v="237"/>
    <x v="5"/>
    <x v="1"/>
    <n v="1800"/>
    <n v="8400"/>
    <n v="3000"/>
  </r>
  <r>
    <s v="O0380"/>
    <s v="C012"/>
    <x v="14"/>
    <x v="2"/>
    <x v="1"/>
    <n v="5"/>
    <n v="800"/>
    <x v="160"/>
    <x v="6"/>
    <x v="3"/>
    <n v="450"/>
    <n v="4000"/>
    <n v="1750"/>
  </r>
  <r>
    <s v="O0381"/>
    <s v="C018"/>
    <x v="7"/>
    <x v="1"/>
    <x v="0"/>
    <n v="5"/>
    <n v="2500"/>
    <x v="238"/>
    <x v="2"/>
    <x v="1"/>
    <n v="1500"/>
    <n v="12500"/>
    <n v="5000"/>
  </r>
  <r>
    <s v="O0382"/>
    <s v="C035"/>
    <x v="9"/>
    <x v="7"/>
    <x v="1"/>
    <n v="4"/>
    <n v="2200"/>
    <x v="167"/>
    <x v="6"/>
    <x v="3"/>
    <n v="1400"/>
    <n v="8800"/>
    <n v="3200"/>
  </r>
  <r>
    <s v="O0383"/>
    <s v="C097"/>
    <x v="3"/>
    <x v="10"/>
    <x v="2"/>
    <n v="4"/>
    <n v="4500"/>
    <x v="7"/>
    <x v="4"/>
    <x v="2"/>
    <n v="2900"/>
    <n v="18000"/>
    <n v="6400"/>
  </r>
  <r>
    <s v="O0384"/>
    <s v="C046"/>
    <x v="8"/>
    <x v="4"/>
    <x v="0"/>
    <n v="3"/>
    <n v="1800"/>
    <x v="239"/>
    <x v="6"/>
    <x v="2"/>
    <n v="1100"/>
    <n v="5400"/>
    <n v="2100"/>
  </r>
  <r>
    <s v="O0385"/>
    <s v="C006"/>
    <x v="8"/>
    <x v="4"/>
    <x v="0"/>
    <n v="2"/>
    <n v="1800"/>
    <x v="155"/>
    <x v="5"/>
    <x v="4"/>
    <n v="1100"/>
    <n v="3600"/>
    <n v="1400"/>
  </r>
  <r>
    <s v="O0386"/>
    <s v="C098"/>
    <x v="7"/>
    <x v="5"/>
    <x v="2"/>
    <n v="4"/>
    <n v="700"/>
    <x v="240"/>
    <x v="0"/>
    <x v="0"/>
    <n v="350"/>
    <n v="2800"/>
    <n v="1400"/>
  </r>
  <r>
    <s v="O0387"/>
    <s v="C071"/>
    <x v="19"/>
    <x v="8"/>
    <x v="2"/>
    <n v="3"/>
    <n v="2800"/>
    <x v="165"/>
    <x v="0"/>
    <x v="1"/>
    <n v="1800"/>
    <n v="8400"/>
    <n v="3000"/>
  </r>
  <r>
    <s v="O0388"/>
    <s v="C005"/>
    <x v="16"/>
    <x v="9"/>
    <x v="0"/>
    <n v="4"/>
    <n v="22000"/>
    <x v="158"/>
    <x v="0"/>
    <x v="0"/>
    <n v="17000"/>
    <n v="88000"/>
    <n v="20000"/>
  </r>
  <r>
    <s v="O0389"/>
    <s v="C009"/>
    <x v="1"/>
    <x v="1"/>
    <x v="0"/>
    <n v="1"/>
    <n v="2500"/>
    <x v="78"/>
    <x v="2"/>
    <x v="2"/>
    <n v="1500"/>
    <n v="2500"/>
    <n v="1000"/>
  </r>
  <r>
    <s v="O0390"/>
    <s v="C103"/>
    <x v="0"/>
    <x v="9"/>
    <x v="0"/>
    <n v="2"/>
    <n v="22000"/>
    <x v="64"/>
    <x v="2"/>
    <x v="0"/>
    <n v="17000"/>
    <n v="44000"/>
    <n v="10000"/>
  </r>
  <r>
    <s v="O0391"/>
    <s v="C036"/>
    <x v="11"/>
    <x v="5"/>
    <x v="2"/>
    <n v="2"/>
    <n v="700"/>
    <x v="209"/>
    <x v="5"/>
    <x v="0"/>
    <n v="350"/>
    <n v="1400"/>
    <n v="700"/>
  </r>
  <r>
    <s v="O0392"/>
    <s v="C083"/>
    <x v="0"/>
    <x v="14"/>
    <x v="1"/>
    <n v="5"/>
    <n v="1500"/>
    <x v="172"/>
    <x v="0"/>
    <x v="3"/>
    <n v="900"/>
    <n v="7500"/>
    <n v="3000"/>
  </r>
  <r>
    <s v="O0393"/>
    <s v="C106"/>
    <x v="8"/>
    <x v="4"/>
    <x v="0"/>
    <n v="5"/>
    <n v="1800"/>
    <x v="179"/>
    <x v="5"/>
    <x v="3"/>
    <n v="1100"/>
    <n v="9000"/>
    <n v="3500"/>
  </r>
  <r>
    <s v="O0394"/>
    <s v="C045"/>
    <x v="16"/>
    <x v="9"/>
    <x v="0"/>
    <n v="5"/>
    <n v="22000"/>
    <x v="241"/>
    <x v="6"/>
    <x v="2"/>
    <n v="17000"/>
    <n v="110000"/>
    <n v="25000"/>
  </r>
  <r>
    <s v="O0395"/>
    <s v="C098"/>
    <x v="7"/>
    <x v="13"/>
    <x v="2"/>
    <n v="1"/>
    <n v="1200"/>
    <x v="6"/>
    <x v="3"/>
    <x v="4"/>
    <n v="700"/>
    <n v="1200"/>
    <n v="500"/>
  </r>
  <r>
    <s v="O0396"/>
    <s v="C097"/>
    <x v="3"/>
    <x v="17"/>
    <x v="2"/>
    <n v="2"/>
    <n v="3500"/>
    <x v="66"/>
    <x v="7"/>
    <x v="2"/>
    <n v="2300"/>
    <n v="7000"/>
    <n v="2400"/>
  </r>
  <r>
    <s v="O0397"/>
    <s v="C077"/>
    <x v="3"/>
    <x v="13"/>
    <x v="2"/>
    <n v="2"/>
    <n v="1200"/>
    <x v="127"/>
    <x v="7"/>
    <x v="4"/>
    <n v="700"/>
    <n v="2400"/>
    <n v="1000"/>
  </r>
  <r>
    <s v="O0398"/>
    <s v="C107"/>
    <x v="4"/>
    <x v="9"/>
    <x v="0"/>
    <n v="5"/>
    <n v="22000"/>
    <x v="242"/>
    <x v="7"/>
    <x v="4"/>
    <n v="17000"/>
    <n v="110000"/>
    <n v="25000"/>
  </r>
  <r>
    <s v="O0399"/>
    <s v="C085"/>
    <x v="16"/>
    <x v="15"/>
    <x v="1"/>
    <n v="3"/>
    <n v="1800"/>
    <x v="243"/>
    <x v="4"/>
    <x v="4"/>
    <n v="1100"/>
    <n v="5400"/>
    <n v="2100"/>
  </r>
  <r>
    <s v="O0400"/>
    <s v="C049"/>
    <x v="1"/>
    <x v="6"/>
    <x v="1"/>
    <n v="1"/>
    <n v="2500"/>
    <x v="244"/>
    <x v="1"/>
    <x v="3"/>
    <n v="1600"/>
    <n v="2500"/>
    <n v="900"/>
  </r>
  <r>
    <s v="O0401"/>
    <s v="C011"/>
    <x v="19"/>
    <x v="10"/>
    <x v="2"/>
    <n v="5"/>
    <n v="4500"/>
    <x v="180"/>
    <x v="4"/>
    <x v="0"/>
    <n v="2900"/>
    <n v="22500"/>
    <n v="8000"/>
  </r>
  <r>
    <s v="O0402"/>
    <s v="C054"/>
    <x v="15"/>
    <x v="5"/>
    <x v="2"/>
    <n v="2"/>
    <n v="700"/>
    <x v="159"/>
    <x v="3"/>
    <x v="3"/>
    <n v="350"/>
    <n v="1400"/>
    <n v="700"/>
  </r>
  <r>
    <s v="O0403"/>
    <s v="C031"/>
    <x v="19"/>
    <x v="11"/>
    <x v="0"/>
    <n v="2"/>
    <n v="55000"/>
    <x v="32"/>
    <x v="2"/>
    <x v="0"/>
    <n v="42000"/>
    <n v="110000"/>
    <n v="26000"/>
  </r>
  <r>
    <s v="O0404"/>
    <s v="C142"/>
    <x v="13"/>
    <x v="2"/>
    <x v="1"/>
    <n v="4"/>
    <n v="800"/>
    <x v="45"/>
    <x v="3"/>
    <x v="3"/>
    <n v="450"/>
    <n v="3200"/>
    <n v="1400"/>
  </r>
  <r>
    <s v="O0405"/>
    <s v="C092"/>
    <x v="14"/>
    <x v="10"/>
    <x v="2"/>
    <n v="4"/>
    <n v="4500"/>
    <x v="211"/>
    <x v="5"/>
    <x v="3"/>
    <n v="2900"/>
    <n v="18000"/>
    <n v="6400"/>
  </r>
  <r>
    <s v="O0406"/>
    <s v="C120"/>
    <x v="12"/>
    <x v="6"/>
    <x v="1"/>
    <n v="5"/>
    <n v="2500"/>
    <x v="174"/>
    <x v="4"/>
    <x v="4"/>
    <n v="1600"/>
    <n v="12500"/>
    <n v="4500"/>
  </r>
  <r>
    <s v="O0407"/>
    <s v="C081"/>
    <x v="6"/>
    <x v="14"/>
    <x v="1"/>
    <n v="2"/>
    <n v="1500"/>
    <x v="245"/>
    <x v="6"/>
    <x v="1"/>
    <n v="900"/>
    <n v="3000"/>
    <n v="1200"/>
  </r>
  <r>
    <s v="O0408"/>
    <s v="C067"/>
    <x v="4"/>
    <x v="15"/>
    <x v="1"/>
    <n v="2"/>
    <n v="1800"/>
    <x v="246"/>
    <x v="6"/>
    <x v="3"/>
    <n v="1100"/>
    <n v="3600"/>
    <n v="1400"/>
  </r>
  <r>
    <s v="O0409"/>
    <s v="C059"/>
    <x v="17"/>
    <x v="4"/>
    <x v="0"/>
    <n v="2"/>
    <n v="1800"/>
    <x v="136"/>
    <x v="6"/>
    <x v="2"/>
    <n v="1100"/>
    <n v="3600"/>
    <n v="1400"/>
  </r>
  <r>
    <s v="O0410"/>
    <s v="C087"/>
    <x v="4"/>
    <x v="15"/>
    <x v="1"/>
    <n v="4"/>
    <n v="1800"/>
    <x v="247"/>
    <x v="5"/>
    <x v="4"/>
    <n v="1100"/>
    <n v="7200"/>
    <n v="2800"/>
  </r>
  <r>
    <s v="O0411"/>
    <s v="C091"/>
    <x v="19"/>
    <x v="13"/>
    <x v="2"/>
    <n v="4"/>
    <n v="1200"/>
    <x v="248"/>
    <x v="7"/>
    <x v="0"/>
    <n v="700"/>
    <n v="4800"/>
    <n v="2000"/>
  </r>
  <r>
    <s v="O0412"/>
    <s v="C139"/>
    <x v="17"/>
    <x v="5"/>
    <x v="2"/>
    <n v="4"/>
    <n v="700"/>
    <x v="249"/>
    <x v="1"/>
    <x v="2"/>
    <n v="350"/>
    <n v="2800"/>
    <n v="1400"/>
  </r>
  <r>
    <s v="O0413"/>
    <s v="C013"/>
    <x v="18"/>
    <x v="9"/>
    <x v="0"/>
    <n v="1"/>
    <n v="22000"/>
    <x v="250"/>
    <x v="1"/>
    <x v="4"/>
    <n v="17000"/>
    <n v="22000"/>
    <n v="5000"/>
  </r>
  <r>
    <s v="O0414"/>
    <s v="C039"/>
    <x v="17"/>
    <x v="4"/>
    <x v="0"/>
    <n v="2"/>
    <n v="1800"/>
    <x v="197"/>
    <x v="1"/>
    <x v="0"/>
    <n v="1100"/>
    <n v="3600"/>
    <n v="1400"/>
  </r>
  <r>
    <s v="O0415"/>
    <s v="C016"/>
    <x v="11"/>
    <x v="12"/>
    <x v="2"/>
    <n v="4"/>
    <n v="1000"/>
    <x v="138"/>
    <x v="2"/>
    <x v="4"/>
    <n v="600"/>
    <n v="4000"/>
    <n v="1600"/>
  </r>
  <r>
    <s v="O0416"/>
    <s v="C142"/>
    <x v="13"/>
    <x v="11"/>
    <x v="0"/>
    <n v="1"/>
    <n v="55000"/>
    <x v="240"/>
    <x v="6"/>
    <x v="1"/>
    <n v="42000"/>
    <n v="55000"/>
    <n v="13000"/>
  </r>
  <r>
    <s v="O0417"/>
    <s v="C138"/>
    <x v="7"/>
    <x v="11"/>
    <x v="0"/>
    <n v="5"/>
    <n v="55000"/>
    <x v="0"/>
    <x v="5"/>
    <x v="1"/>
    <n v="42000"/>
    <n v="275000"/>
    <n v="65000"/>
  </r>
  <r>
    <s v="O0418"/>
    <s v="C028"/>
    <x v="5"/>
    <x v="12"/>
    <x v="2"/>
    <n v="4"/>
    <n v="1000"/>
    <x v="21"/>
    <x v="4"/>
    <x v="2"/>
    <n v="600"/>
    <n v="4000"/>
    <n v="1600"/>
  </r>
  <r>
    <s v="O0419"/>
    <s v="C135"/>
    <x v="9"/>
    <x v="4"/>
    <x v="0"/>
    <n v="2"/>
    <n v="1800"/>
    <x v="8"/>
    <x v="5"/>
    <x v="3"/>
    <n v="1100"/>
    <n v="3600"/>
    <n v="1400"/>
  </r>
  <r>
    <s v="O0420"/>
    <s v="C096"/>
    <x v="11"/>
    <x v="3"/>
    <x v="1"/>
    <n v="4"/>
    <n v="3000"/>
    <x v="230"/>
    <x v="6"/>
    <x v="4"/>
    <n v="1900"/>
    <n v="12000"/>
    <n v="4400"/>
  </r>
  <r>
    <s v="O0421"/>
    <s v="C021"/>
    <x v="6"/>
    <x v="15"/>
    <x v="1"/>
    <n v="2"/>
    <n v="1800"/>
    <x v="66"/>
    <x v="1"/>
    <x v="1"/>
    <n v="1100"/>
    <n v="3600"/>
    <n v="1400"/>
  </r>
  <r>
    <s v="O0422"/>
    <s v="C142"/>
    <x v="13"/>
    <x v="10"/>
    <x v="2"/>
    <n v="4"/>
    <n v="4500"/>
    <x v="7"/>
    <x v="2"/>
    <x v="1"/>
    <n v="2900"/>
    <n v="18000"/>
    <n v="6400"/>
  </r>
  <r>
    <s v="O0423"/>
    <s v="C128"/>
    <x v="5"/>
    <x v="11"/>
    <x v="0"/>
    <n v="2"/>
    <n v="55000"/>
    <x v="251"/>
    <x v="6"/>
    <x v="3"/>
    <n v="42000"/>
    <n v="110000"/>
    <n v="26000"/>
  </r>
  <r>
    <s v="O0424"/>
    <s v="C059"/>
    <x v="17"/>
    <x v="0"/>
    <x v="0"/>
    <n v="5"/>
    <n v="5000"/>
    <x v="96"/>
    <x v="0"/>
    <x v="2"/>
    <n v="3200"/>
    <n v="25000"/>
    <n v="9000"/>
  </r>
  <r>
    <s v="O0425"/>
    <s v="C020"/>
    <x v="12"/>
    <x v="13"/>
    <x v="2"/>
    <n v="3"/>
    <n v="1200"/>
    <x v="73"/>
    <x v="5"/>
    <x v="2"/>
    <n v="700"/>
    <n v="3600"/>
    <n v="1500"/>
  </r>
  <r>
    <s v="O0426"/>
    <s v="C005"/>
    <x v="16"/>
    <x v="9"/>
    <x v="0"/>
    <n v="2"/>
    <n v="22000"/>
    <x v="46"/>
    <x v="0"/>
    <x v="2"/>
    <n v="17000"/>
    <n v="44000"/>
    <n v="10000"/>
  </r>
  <r>
    <s v="O0427"/>
    <s v="C077"/>
    <x v="3"/>
    <x v="4"/>
    <x v="0"/>
    <n v="4"/>
    <n v="1800"/>
    <x v="81"/>
    <x v="7"/>
    <x v="2"/>
    <n v="1100"/>
    <n v="7200"/>
    <n v="2800"/>
  </r>
  <r>
    <s v="O0428"/>
    <s v="C139"/>
    <x v="17"/>
    <x v="15"/>
    <x v="1"/>
    <n v="5"/>
    <n v="1800"/>
    <x v="252"/>
    <x v="3"/>
    <x v="4"/>
    <n v="1100"/>
    <n v="9000"/>
    <n v="3500"/>
  </r>
  <r>
    <s v="O0429"/>
    <s v="C089"/>
    <x v="1"/>
    <x v="4"/>
    <x v="0"/>
    <n v="1"/>
    <n v="1800"/>
    <x v="253"/>
    <x v="1"/>
    <x v="1"/>
    <n v="1100"/>
    <n v="1800"/>
    <n v="700"/>
  </r>
  <r>
    <s v="O0430"/>
    <s v="C088"/>
    <x v="5"/>
    <x v="17"/>
    <x v="2"/>
    <n v="2"/>
    <n v="3500"/>
    <x v="55"/>
    <x v="6"/>
    <x v="3"/>
    <n v="2300"/>
    <n v="7000"/>
    <n v="2400"/>
  </r>
  <r>
    <s v="O0431"/>
    <s v="C126"/>
    <x v="8"/>
    <x v="11"/>
    <x v="0"/>
    <n v="3"/>
    <n v="55000"/>
    <x v="113"/>
    <x v="0"/>
    <x v="3"/>
    <n v="42000"/>
    <n v="165000"/>
    <n v="39000"/>
  </r>
  <r>
    <s v="O0432"/>
    <s v="C048"/>
    <x v="5"/>
    <x v="5"/>
    <x v="2"/>
    <n v="4"/>
    <n v="700"/>
    <x v="98"/>
    <x v="6"/>
    <x v="1"/>
    <n v="350"/>
    <n v="2800"/>
    <n v="1400"/>
  </r>
  <r>
    <s v="O0433"/>
    <s v="C022"/>
    <x v="13"/>
    <x v="7"/>
    <x v="1"/>
    <n v="2"/>
    <n v="2200"/>
    <x v="160"/>
    <x v="5"/>
    <x v="0"/>
    <n v="1400"/>
    <n v="4400"/>
    <n v="1600"/>
  </r>
  <r>
    <s v="O0434"/>
    <s v="C082"/>
    <x v="13"/>
    <x v="10"/>
    <x v="2"/>
    <n v="2"/>
    <n v="4500"/>
    <x v="252"/>
    <x v="3"/>
    <x v="1"/>
    <n v="2900"/>
    <n v="9000"/>
    <n v="3200"/>
  </r>
  <r>
    <s v="O0435"/>
    <s v="C114"/>
    <x v="15"/>
    <x v="1"/>
    <x v="0"/>
    <n v="1"/>
    <n v="2500"/>
    <x v="24"/>
    <x v="3"/>
    <x v="3"/>
    <n v="1500"/>
    <n v="2500"/>
    <n v="1000"/>
  </r>
  <r>
    <s v="O0436"/>
    <s v="C048"/>
    <x v="5"/>
    <x v="0"/>
    <x v="0"/>
    <n v="2"/>
    <n v="5000"/>
    <x v="1"/>
    <x v="6"/>
    <x v="4"/>
    <n v="3200"/>
    <n v="10000"/>
    <n v="3600"/>
  </r>
  <r>
    <s v="O0437"/>
    <s v="C105"/>
    <x v="16"/>
    <x v="5"/>
    <x v="2"/>
    <n v="5"/>
    <n v="700"/>
    <x v="254"/>
    <x v="4"/>
    <x v="1"/>
    <n v="350"/>
    <n v="3500"/>
    <n v="1750"/>
  </r>
  <r>
    <s v="O0438"/>
    <s v="C024"/>
    <x v="10"/>
    <x v="1"/>
    <x v="0"/>
    <n v="3"/>
    <n v="2500"/>
    <x v="255"/>
    <x v="3"/>
    <x v="4"/>
    <n v="1500"/>
    <n v="7500"/>
    <n v="3000"/>
  </r>
  <r>
    <s v="O0439"/>
    <s v="C100"/>
    <x v="12"/>
    <x v="11"/>
    <x v="0"/>
    <n v="3"/>
    <n v="55000"/>
    <x v="242"/>
    <x v="4"/>
    <x v="2"/>
    <n v="42000"/>
    <n v="165000"/>
    <n v="39000"/>
  </r>
  <r>
    <s v="O0440"/>
    <s v="C044"/>
    <x v="10"/>
    <x v="15"/>
    <x v="1"/>
    <n v="5"/>
    <n v="1800"/>
    <x v="256"/>
    <x v="6"/>
    <x v="0"/>
    <n v="1100"/>
    <n v="9000"/>
    <n v="3500"/>
  </r>
  <r>
    <s v="O0441"/>
    <s v="C069"/>
    <x v="1"/>
    <x v="4"/>
    <x v="0"/>
    <n v="3"/>
    <n v="1800"/>
    <x v="193"/>
    <x v="2"/>
    <x v="0"/>
    <n v="1100"/>
    <n v="5400"/>
    <n v="2100"/>
  </r>
  <r>
    <s v="O0442"/>
    <s v="C071"/>
    <x v="19"/>
    <x v="1"/>
    <x v="0"/>
    <n v="2"/>
    <n v="2500"/>
    <x v="20"/>
    <x v="6"/>
    <x v="3"/>
    <n v="1500"/>
    <n v="5000"/>
    <n v="2000"/>
  </r>
  <r>
    <s v="O0443"/>
    <s v="C065"/>
    <x v="16"/>
    <x v="13"/>
    <x v="2"/>
    <n v="1"/>
    <n v="1200"/>
    <x v="206"/>
    <x v="0"/>
    <x v="4"/>
    <n v="700"/>
    <n v="1200"/>
    <n v="500"/>
  </r>
  <r>
    <s v="O0444"/>
    <s v="C035"/>
    <x v="9"/>
    <x v="2"/>
    <x v="1"/>
    <n v="4"/>
    <n v="800"/>
    <x v="257"/>
    <x v="5"/>
    <x v="1"/>
    <n v="450"/>
    <n v="3200"/>
    <n v="1400"/>
  </r>
  <r>
    <s v="O0445"/>
    <s v="C098"/>
    <x v="7"/>
    <x v="10"/>
    <x v="2"/>
    <n v="3"/>
    <n v="4500"/>
    <x v="258"/>
    <x v="3"/>
    <x v="4"/>
    <n v="2900"/>
    <n v="13500"/>
    <n v="4800"/>
  </r>
  <r>
    <s v="O0446"/>
    <s v="C035"/>
    <x v="9"/>
    <x v="14"/>
    <x v="1"/>
    <n v="4"/>
    <n v="1500"/>
    <x v="37"/>
    <x v="5"/>
    <x v="3"/>
    <n v="900"/>
    <n v="6000"/>
    <n v="2400"/>
  </r>
  <r>
    <s v="O0447"/>
    <s v="C046"/>
    <x v="8"/>
    <x v="2"/>
    <x v="1"/>
    <n v="4"/>
    <n v="800"/>
    <x v="162"/>
    <x v="6"/>
    <x v="3"/>
    <n v="450"/>
    <n v="3200"/>
    <n v="1400"/>
  </r>
  <r>
    <s v="O0448"/>
    <s v="C063"/>
    <x v="0"/>
    <x v="7"/>
    <x v="1"/>
    <n v="4"/>
    <n v="2200"/>
    <x v="259"/>
    <x v="3"/>
    <x v="4"/>
    <n v="1400"/>
    <n v="8800"/>
    <n v="3200"/>
  </r>
  <r>
    <s v="O0449"/>
    <s v="C030"/>
    <x v="2"/>
    <x v="3"/>
    <x v="1"/>
    <n v="4"/>
    <n v="3000"/>
    <x v="65"/>
    <x v="0"/>
    <x v="2"/>
    <n v="1900"/>
    <n v="12000"/>
    <n v="4400"/>
  </r>
  <r>
    <s v="O0450"/>
    <s v="C141"/>
    <x v="6"/>
    <x v="5"/>
    <x v="2"/>
    <n v="2"/>
    <n v="700"/>
    <x v="19"/>
    <x v="1"/>
    <x v="4"/>
    <n v="350"/>
    <n v="1400"/>
    <n v="700"/>
  </r>
  <r>
    <s v="O0451"/>
    <s v="C018"/>
    <x v="7"/>
    <x v="2"/>
    <x v="1"/>
    <n v="4"/>
    <n v="800"/>
    <x v="128"/>
    <x v="6"/>
    <x v="4"/>
    <n v="450"/>
    <n v="3200"/>
    <n v="1400"/>
  </r>
  <r>
    <s v="O0452"/>
    <s v="C065"/>
    <x v="16"/>
    <x v="4"/>
    <x v="0"/>
    <n v="3"/>
    <n v="1800"/>
    <x v="103"/>
    <x v="7"/>
    <x v="4"/>
    <n v="1100"/>
    <n v="5400"/>
    <n v="2100"/>
  </r>
  <r>
    <s v="O0453"/>
    <s v="C123"/>
    <x v="0"/>
    <x v="10"/>
    <x v="2"/>
    <n v="1"/>
    <n v="4500"/>
    <x v="35"/>
    <x v="6"/>
    <x v="2"/>
    <n v="2900"/>
    <n v="4500"/>
    <n v="1600"/>
  </r>
  <r>
    <s v="O0454"/>
    <s v="C010"/>
    <x v="2"/>
    <x v="12"/>
    <x v="2"/>
    <n v="4"/>
    <n v="1000"/>
    <x v="260"/>
    <x v="3"/>
    <x v="2"/>
    <n v="600"/>
    <n v="4000"/>
    <n v="1600"/>
  </r>
  <r>
    <s v="O0455"/>
    <s v="C091"/>
    <x v="19"/>
    <x v="1"/>
    <x v="0"/>
    <n v="1"/>
    <n v="2500"/>
    <x v="36"/>
    <x v="7"/>
    <x v="2"/>
    <n v="1500"/>
    <n v="2500"/>
    <n v="1000"/>
  </r>
  <r>
    <s v="O0456"/>
    <s v="C103"/>
    <x v="0"/>
    <x v="9"/>
    <x v="0"/>
    <n v="5"/>
    <n v="22000"/>
    <x v="187"/>
    <x v="3"/>
    <x v="4"/>
    <n v="17000"/>
    <n v="110000"/>
    <n v="25000"/>
  </r>
  <r>
    <s v="O0457"/>
    <s v="C067"/>
    <x v="4"/>
    <x v="0"/>
    <x v="0"/>
    <n v="1"/>
    <n v="5000"/>
    <x v="112"/>
    <x v="0"/>
    <x v="2"/>
    <n v="3200"/>
    <n v="5000"/>
    <n v="1800"/>
  </r>
  <r>
    <s v="O0458"/>
    <s v="C148"/>
    <x v="5"/>
    <x v="12"/>
    <x v="2"/>
    <n v="5"/>
    <n v="1000"/>
    <x v="261"/>
    <x v="0"/>
    <x v="4"/>
    <n v="600"/>
    <n v="5000"/>
    <n v="2000"/>
  </r>
  <r>
    <s v="O0459"/>
    <s v="C129"/>
    <x v="1"/>
    <x v="6"/>
    <x v="1"/>
    <n v="4"/>
    <n v="2500"/>
    <x v="215"/>
    <x v="7"/>
    <x v="3"/>
    <n v="1600"/>
    <n v="10000"/>
    <n v="3600"/>
  </r>
  <r>
    <s v="O0460"/>
    <s v="C076"/>
    <x v="11"/>
    <x v="11"/>
    <x v="0"/>
    <n v="4"/>
    <n v="55000"/>
    <x v="262"/>
    <x v="6"/>
    <x v="1"/>
    <n v="42000"/>
    <n v="220000"/>
    <n v="52000"/>
  </r>
  <r>
    <s v="O0461"/>
    <s v="C080"/>
    <x v="12"/>
    <x v="0"/>
    <x v="0"/>
    <n v="2"/>
    <n v="5000"/>
    <x v="263"/>
    <x v="3"/>
    <x v="4"/>
    <n v="3200"/>
    <n v="10000"/>
    <n v="3600"/>
  </r>
  <r>
    <s v="O0462"/>
    <s v="C090"/>
    <x v="2"/>
    <x v="2"/>
    <x v="1"/>
    <n v="5"/>
    <n v="800"/>
    <x v="214"/>
    <x v="2"/>
    <x v="1"/>
    <n v="450"/>
    <n v="4000"/>
    <n v="1750"/>
  </r>
  <r>
    <s v="O0463"/>
    <s v="C018"/>
    <x v="7"/>
    <x v="8"/>
    <x v="2"/>
    <n v="4"/>
    <n v="2800"/>
    <x v="216"/>
    <x v="5"/>
    <x v="1"/>
    <n v="1800"/>
    <n v="11200"/>
    <n v="4000"/>
  </r>
  <r>
    <s v="O0464"/>
    <s v="C028"/>
    <x v="5"/>
    <x v="0"/>
    <x v="0"/>
    <n v="1"/>
    <n v="5000"/>
    <x v="228"/>
    <x v="7"/>
    <x v="0"/>
    <n v="3200"/>
    <n v="5000"/>
    <n v="1800"/>
  </r>
  <r>
    <s v="O0465"/>
    <s v="C041"/>
    <x v="6"/>
    <x v="12"/>
    <x v="2"/>
    <n v="2"/>
    <n v="1000"/>
    <x v="264"/>
    <x v="3"/>
    <x v="2"/>
    <n v="600"/>
    <n v="2000"/>
    <n v="800"/>
  </r>
  <r>
    <s v="O0466"/>
    <s v="C104"/>
    <x v="10"/>
    <x v="17"/>
    <x v="2"/>
    <n v="4"/>
    <n v="3500"/>
    <x v="265"/>
    <x v="7"/>
    <x v="0"/>
    <n v="2300"/>
    <n v="14000"/>
    <n v="4800"/>
  </r>
  <r>
    <s v="O0467"/>
    <s v="C051"/>
    <x v="19"/>
    <x v="17"/>
    <x v="2"/>
    <n v="4"/>
    <n v="3500"/>
    <x v="137"/>
    <x v="2"/>
    <x v="2"/>
    <n v="2300"/>
    <n v="14000"/>
    <n v="4800"/>
  </r>
  <r>
    <s v="O0468"/>
    <s v="C055"/>
    <x v="9"/>
    <x v="17"/>
    <x v="2"/>
    <n v="4"/>
    <n v="3500"/>
    <x v="266"/>
    <x v="0"/>
    <x v="3"/>
    <n v="2300"/>
    <n v="14000"/>
    <n v="4800"/>
  </r>
  <r>
    <s v="O0469"/>
    <s v="C138"/>
    <x v="7"/>
    <x v="1"/>
    <x v="0"/>
    <n v="5"/>
    <n v="2500"/>
    <x v="190"/>
    <x v="7"/>
    <x v="3"/>
    <n v="1500"/>
    <n v="12500"/>
    <n v="5000"/>
  </r>
  <r>
    <s v="O0470"/>
    <s v="C030"/>
    <x v="2"/>
    <x v="14"/>
    <x v="1"/>
    <n v="2"/>
    <n v="1500"/>
    <x v="194"/>
    <x v="5"/>
    <x v="4"/>
    <n v="900"/>
    <n v="3000"/>
    <n v="1200"/>
  </r>
  <r>
    <s v="O0471"/>
    <s v="C100"/>
    <x v="12"/>
    <x v="12"/>
    <x v="2"/>
    <n v="3"/>
    <n v="1000"/>
    <x v="168"/>
    <x v="6"/>
    <x v="2"/>
    <n v="600"/>
    <n v="3000"/>
    <n v="1200"/>
  </r>
  <r>
    <s v="O0472"/>
    <s v="C118"/>
    <x v="7"/>
    <x v="0"/>
    <x v="0"/>
    <n v="3"/>
    <n v="5000"/>
    <x v="106"/>
    <x v="7"/>
    <x v="3"/>
    <n v="3200"/>
    <n v="15000"/>
    <n v="5400"/>
  </r>
  <r>
    <s v="O0473"/>
    <s v="C031"/>
    <x v="19"/>
    <x v="1"/>
    <x v="0"/>
    <n v="2"/>
    <n v="2500"/>
    <x v="162"/>
    <x v="0"/>
    <x v="3"/>
    <n v="1500"/>
    <n v="5000"/>
    <n v="2000"/>
  </r>
  <r>
    <s v="O0474"/>
    <s v="C037"/>
    <x v="3"/>
    <x v="0"/>
    <x v="0"/>
    <n v="2"/>
    <n v="5000"/>
    <x v="138"/>
    <x v="6"/>
    <x v="4"/>
    <n v="3200"/>
    <n v="10000"/>
    <n v="3600"/>
  </r>
  <r>
    <s v="O0475"/>
    <s v="C109"/>
    <x v="1"/>
    <x v="4"/>
    <x v="0"/>
    <n v="5"/>
    <n v="1800"/>
    <x v="267"/>
    <x v="7"/>
    <x v="4"/>
    <n v="1100"/>
    <n v="9000"/>
    <n v="3500"/>
  </r>
  <r>
    <s v="O0476"/>
    <s v="C043"/>
    <x v="0"/>
    <x v="5"/>
    <x v="2"/>
    <n v="2"/>
    <n v="700"/>
    <x v="268"/>
    <x v="2"/>
    <x v="3"/>
    <n v="350"/>
    <n v="1400"/>
    <n v="700"/>
  </r>
  <r>
    <s v="O0477"/>
    <s v="C116"/>
    <x v="11"/>
    <x v="4"/>
    <x v="0"/>
    <n v="2"/>
    <n v="1800"/>
    <x v="46"/>
    <x v="1"/>
    <x v="3"/>
    <n v="1100"/>
    <n v="3600"/>
    <n v="1400"/>
  </r>
  <r>
    <s v="O0478"/>
    <s v="C050"/>
    <x v="2"/>
    <x v="11"/>
    <x v="0"/>
    <n v="4"/>
    <n v="55000"/>
    <x v="269"/>
    <x v="6"/>
    <x v="2"/>
    <n v="42000"/>
    <n v="220000"/>
    <n v="52000"/>
  </r>
  <r>
    <s v="O0479"/>
    <s v="C126"/>
    <x v="8"/>
    <x v="12"/>
    <x v="2"/>
    <n v="4"/>
    <n v="1000"/>
    <x v="270"/>
    <x v="6"/>
    <x v="4"/>
    <n v="600"/>
    <n v="4000"/>
    <n v="1600"/>
  </r>
  <r>
    <s v="O0480"/>
    <s v="C145"/>
    <x v="16"/>
    <x v="13"/>
    <x v="2"/>
    <n v="2"/>
    <n v="1200"/>
    <x v="251"/>
    <x v="1"/>
    <x v="0"/>
    <n v="700"/>
    <n v="2400"/>
    <n v="1000"/>
  </r>
  <r>
    <s v="O0481"/>
    <s v="C058"/>
    <x v="7"/>
    <x v="7"/>
    <x v="1"/>
    <n v="1"/>
    <n v="2200"/>
    <x v="0"/>
    <x v="5"/>
    <x v="0"/>
    <n v="1400"/>
    <n v="2200"/>
    <n v="800"/>
  </r>
  <r>
    <s v="O0482"/>
    <s v="C141"/>
    <x v="6"/>
    <x v="8"/>
    <x v="2"/>
    <n v="5"/>
    <n v="2800"/>
    <x v="234"/>
    <x v="4"/>
    <x v="2"/>
    <n v="1800"/>
    <n v="14000"/>
    <n v="5000"/>
  </r>
  <r>
    <s v="O0483"/>
    <s v="C094"/>
    <x v="15"/>
    <x v="0"/>
    <x v="0"/>
    <n v="3"/>
    <n v="5000"/>
    <x v="260"/>
    <x v="1"/>
    <x v="4"/>
    <n v="3200"/>
    <n v="15000"/>
    <n v="5400"/>
  </r>
  <r>
    <s v="O0484"/>
    <s v="C027"/>
    <x v="4"/>
    <x v="5"/>
    <x v="2"/>
    <n v="2"/>
    <n v="700"/>
    <x v="271"/>
    <x v="0"/>
    <x v="3"/>
    <n v="350"/>
    <n v="1400"/>
    <n v="700"/>
  </r>
  <r>
    <s v="O0485"/>
    <s v="C090"/>
    <x v="2"/>
    <x v="9"/>
    <x v="0"/>
    <n v="4"/>
    <n v="22000"/>
    <x v="15"/>
    <x v="4"/>
    <x v="4"/>
    <n v="17000"/>
    <n v="88000"/>
    <n v="20000"/>
  </r>
  <r>
    <s v="O0486"/>
    <s v="C090"/>
    <x v="2"/>
    <x v="0"/>
    <x v="0"/>
    <n v="2"/>
    <n v="5000"/>
    <x v="272"/>
    <x v="6"/>
    <x v="0"/>
    <n v="3200"/>
    <n v="10000"/>
    <n v="3600"/>
  </r>
  <r>
    <s v="O0487"/>
    <s v="C016"/>
    <x v="11"/>
    <x v="4"/>
    <x v="0"/>
    <n v="2"/>
    <n v="1800"/>
    <x v="273"/>
    <x v="3"/>
    <x v="2"/>
    <n v="1100"/>
    <n v="3600"/>
    <n v="1400"/>
  </r>
  <r>
    <s v="O0488"/>
    <s v="C044"/>
    <x v="10"/>
    <x v="3"/>
    <x v="1"/>
    <n v="5"/>
    <n v="3000"/>
    <x v="47"/>
    <x v="3"/>
    <x v="3"/>
    <n v="1900"/>
    <n v="15000"/>
    <n v="5500"/>
  </r>
  <r>
    <s v="O0489"/>
    <s v="C132"/>
    <x v="14"/>
    <x v="7"/>
    <x v="1"/>
    <n v="5"/>
    <n v="2200"/>
    <x v="217"/>
    <x v="4"/>
    <x v="0"/>
    <n v="1400"/>
    <n v="11000"/>
    <n v="4000"/>
  </r>
  <r>
    <s v="O0490"/>
    <s v="C033"/>
    <x v="18"/>
    <x v="17"/>
    <x v="2"/>
    <n v="1"/>
    <n v="3500"/>
    <x v="53"/>
    <x v="7"/>
    <x v="0"/>
    <n v="2300"/>
    <n v="3500"/>
    <n v="1200"/>
  </r>
  <r>
    <s v="O0491"/>
    <s v="C101"/>
    <x v="6"/>
    <x v="4"/>
    <x v="0"/>
    <n v="3"/>
    <n v="1800"/>
    <x v="80"/>
    <x v="2"/>
    <x v="0"/>
    <n v="1100"/>
    <n v="5400"/>
    <n v="2100"/>
  </r>
  <r>
    <s v="O0492"/>
    <s v="C116"/>
    <x v="11"/>
    <x v="3"/>
    <x v="1"/>
    <n v="4"/>
    <n v="3000"/>
    <x v="188"/>
    <x v="4"/>
    <x v="1"/>
    <n v="1900"/>
    <n v="12000"/>
    <n v="4400"/>
  </r>
  <r>
    <s v="O0493"/>
    <s v="C095"/>
    <x v="9"/>
    <x v="10"/>
    <x v="2"/>
    <n v="5"/>
    <n v="4500"/>
    <x v="60"/>
    <x v="2"/>
    <x v="4"/>
    <n v="2900"/>
    <n v="22500"/>
    <n v="8000"/>
  </r>
  <r>
    <s v="O0494"/>
    <s v="C024"/>
    <x v="10"/>
    <x v="14"/>
    <x v="1"/>
    <n v="5"/>
    <n v="1500"/>
    <x v="155"/>
    <x v="2"/>
    <x v="3"/>
    <n v="900"/>
    <n v="7500"/>
    <n v="3000"/>
  </r>
  <r>
    <s v="O0495"/>
    <s v="C056"/>
    <x v="11"/>
    <x v="1"/>
    <x v="0"/>
    <n v="5"/>
    <n v="2500"/>
    <x v="152"/>
    <x v="6"/>
    <x v="0"/>
    <n v="1500"/>
    <n v="12500"/>
    <n v="5000"/>
  </r>
  <r>
    <s v="O0496"/>
    <s v="C073"/>
    <x v="18"/>
    <x v="13"/>
    <x v="2"/>
    <n v="3"/>
    <n v="1200"/>
    <x v="118"/>
    <x v="3"/>
    <x v="2"/>
    <n v="700"/>
    <n v="3600"/>
    <n v="1500"/>
  </r>
  <r>
    <s v="O0497"/>
    <s v="C088"/>
    <x v="5"/>
    <x v="4"/>
    <x v="0"/>
    <n v="5"/>
    <n v="1800"/>
    <x v="25"/>
    <x v="1"/>
    <x v="1"/>
    <n v="1100"/>
    <n v="9000"/>
    <n v="3500"/>
  </r>
  <r>
    <s v="O0498"/>
    <s v="C032"/>
    <x v="14"/>
    <x v="0"/>
    <x v="0"/>
    <n v="4"/>
    <n v="5000"/>
    <x v="246"/>
    <x v="7"/>
    <x v="4"/>
    <n v="3200"/>
    <n v="20000"/>
    <n v="7200"/>
  </r>
  <r>
    <s v="O0499"/>
    <s v="C052"/>
    <x v="14"/>
    <x v="8"/>
    <x v="2"/>
    <n v="1"/>
    <n v="2800"/>
    <x v="175"/>
    <x v="7"/>
    <x v="3"/>
    <n v="1800"/>
    <n v="2800"/>
    <n v="1000"/>
  </r>
  <r>
    <s v="O0500"/>
    <s v="C093"/>
    <x v="18"/>
    <x v="16"/>
    <x v="0"/>
    <n v="3"/>
    <n v="900"/>
    <x v="274"/>
    <x v="5"/>
    <x v="1"/>
    <n v="500"/>
    <n v="2700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B59C1-2CE1-4FF9-B0A9-F3A20D690CF8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24" firstHeaderRow="1" firstDataRow="1" firstDataCol="1"/>
  <pivotFields count="15">
    <pivotField showAll="0"/>
    <pivotField showAll="0"/>
    <pivotField axis="axisRow" showAll="0">
      <items count="21">
        <item x="3"/>
        <item x="8"/>
        <item x="1"/>
        <item x="7"/>
        <item x="10"/>
        <item x="0"/>
        <item x="16"/>
        <item x="15"/>
        <item x="12"/>
        <item x="17"/>
        <item x="5"/>
        <item x="14"/>
        <item x="11"/>
        <item x="6"/>
        <item x="4"/>
        <item x="18"/>
        <item x="13"/>
        <item x="9"/>
        <item x="2"/>
        <item x="19"/>
        <item t="default"/>
      </items>
    </pivotField>
    <pivotField showAll="0">
      <items count="19">
        <item x="14"/>
        <item x="13"/>
        <item x="10"/>
        <item x="8"/>
        <item x="12"/>
        <item x="1"/>
        <item x="7"/>
        <item x="15"/>
        <item x="4"/>
        <item x="11"/>
        <item x="17"/>
        <item x="9"/>
        <item x="16"/>
        <item x="6"/>
        <item x="3"/>
        <item x="0"/>
        <item x="2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numFmtId="14" showAll="0">
      <items count="276">
        <item x="23"/>
        <item x="155"/>
        <item x="266"/>
        <item x="85"/>
        <item x="108"/>
        <item x="246"/>
        <item x="227"/>
        <item x="237"/>
        <item x="58"/>
        <item x="94"/>
        <item x="137"/>
        <item x="12"/>
        <item x="134"/>
        <item x="223"/>
        <item x="96"/>
        <item x="64"/>
        <item x="73"/>
        <item x="169"/>
        <item x="125"/>
        <item x="124"/>
        <item x="209"/>
        <item x="238"/>
        <item x="109"/>
        <item x="197"/>
        <item x="30"/>
        <item x="160"/>
        <item x="55"/>
        <item x="81"/>
        <item x="230"/>
        <item x="251"/>
        <item x="1"/>
        <item x="177"/>
        <item x="163"/>
        <item x="274"/>
        <item x="222"/>
        <item x="112"/>
        <item x="190"/>
        <item x="262"/>
        <item x="257"/>
        <item x="62"/>
        <item x="170"/>
        <item x="61"/>
        <item x="239"/>
        <item x="28"/>
        <item x="77"/>
        <item x="154"/>
        <item x="208"/>
        <item x="164"/>
        <item x="50"/>
        <item x="269"/>
        <item x="173"/>
        <item x="14"/>
        <item x="110"/>
        <item x="181"/>
        <item x="17"/>
        <item x="165"/>
        <item x="4"/>
        <item x="54"/>
        <item x="9"/>
        <item x="26"/>
        <item x="248"/>
        <item x="156"/>
        <item x="76"/>
        <item x="21"/>
        <item x="167"/>
        <item x="249"/>
        <item x="42"/>
        <item x="32"/>
        <item x="8"/>
        <item x="22"/>
        <item x="59"/>
        <item x="231"/>
        <item x="243"/>
        <item x="273"/>
        <item x="272"/>
        <item x="204"/>
        <item x="161"/>
        <item x="40"/>
        <item x="16"/>
        <item x="179"/>
        <item x="192"/>
        <item x="127"/>
        <item x="143"/>
        <item x="265"/>
        <item x="2"/>
        <item x="72"/>
        <item x="157"/>
        <item x="45"/>
        <item x="103"/>
        <item x="75"/>
        <item x="48"/>
        <item x="80"/>
        <item x="36"/>
        <item x="210"/>
        <item x="184"/>
        <item x="89"/>
        <item x="15"/>
        <item x="147"/>
        <item x="217"/>
        <item x="100"/>
        <item x="11"/>
        <item x="51"/>
        <item x="0"/>
        <item x="53"/>
        <item x="60"/>
        <item x="107"/>
        <item x="189"/>
        <item x="39"/>
        <item x="141"/>
        <item x="218"/>
        <item x="128"/>
        <item x="104"/>
        <item x="146"/>
        <item x="66"/>
        <item x="193"/>
        <item x="69"/>
        <item x="24"/>
        <item x="185"/>
        <item x="27"/>
        <item x="162"/>
        <item x="46"/>
        <item x="133"/>
        <item x="216"/>
        <item x="118"/>
        <item x="101"/>
        <item x="200"/>
        <item x="136"/>
        <item x="83"/>
        <item x="121"/>
        <item x="5"/>
        <item x="34"/>
        <item x="102"/>
        <item x="228"/>
        <item x="6"/>
        <item x="263"/>
        <item x="106"/>
        <item x="57"/>
        <item x="206"/>
        <item x="151"/>
        <item x="65"/>
        <item x="105"/>
        <item x="245"/>
        <item x="138"/>
        <item x="188"/>
        <item x="7"/>
        <item x="18"/>
        <item x="267"/>
        <item x="198"/>
        <item x="183"/>
        <item x="252"/>
        <item x="220"/>
        <item x="229"/>
        <item x="152"/>
        <item x="178"/>
        <item x="123"/>
        <item x="176"/>
        <item x="38"/>
        <item x="270"/>
        <item x="33"/>
        <item x="242"/>
        <item x="74"/>
        <item x="3"/>
        <item x="84"/>
        <item x="271"/>
        <item x="175"/>
        <item x="56"/>
        <item x="98"/>
        <item x="20"/>
        <item x="120"/>
        <item x="126"/>
        <item x="70"/>
        <item x="35"/>
        <item x="113"/>
        <item x="122"/>
        <item x="194"/>
        <item x="140"/>
        <item x="215"/>
        <item x="87"/>
        <item x="90"/>
        <item x="233"/>
        <item x="159"/>
        <item x="214"/>
        <item x="25"/>
        <item x="171"/>
        <item x="224"/>
        <item x="117"/>
        <item x="234"/>
        <item x="174"/>
        <item x="253"/>
        <item x="191"/>
        <item x="52"/>
        <item x="130"/>
        <item x="129"/>
        <item x="63"/>
        <item x="254"/>
        <item x="199"/>
        <item x="256"/>
        <item x="99"/>
        <item x="182"/>
        <item x="135"/>
        <item x="145"/>
        <item x="240"/>
        <item x="211"/>
        <item x="244"/>
        <item x="47"/>
        <item x="31"/>
        <item x="260"/>
        <item x="86"/>
        <item x="79"/>
        <item x="247"/>
        <item x="264"/>
        <item x="255"/>
        <item x="268"/>
        <item x="111"/>
        <item x="186"/>
        <item x="166"/>
        <item x="92"/>
        <item x="139"/>
        <item x="13"/>
        <item x="43"/>
        <item x="142"/>
        <item x="203"/>
        <item x="259"/>
        <item x="219"/>
        <item x="131"/>
        <item x="261"/>
        <item x="225"/>
        <item x="41"/>
        <item x="119"/>
        <item x="29"/>
        <item x="241"/>
        <item x="95"/>
        <item x="78"/>
        <item x="168"/>
        <item x="172"/>
        <item x="180"/>
        <item x="93"/>
        <item x="10"/>
        <item x="235"/>
        <item x="207"/>
        <item x="158"/>
        <item x="258"/>
        <item x="91"/>
        <item x="115"/>
        <item x="144"/>
        <item x="195"/>
        <item x="148"/>
        <item x="232"/>
        <item x="213"/>
        <item x="212"/>
        <item x="88"/>
        <item x="187"/>
        <item x="97"/>
        <item x="37"/>
        <item x="221"/>
        <item x="150"/>
        <item x="44"/>
        <item x="71"/>
        <item x="153"/>
        <item x="196"/>
        <item x="205"/>
        <item x="250"/>
        <item x="149"/>
        <item x="68"/>
        <item x="202"/>
        <item x="226"/>
        <item x="19"/>
        <item x="116"/>
        <item x="201"/>
        <item x="82"/>
        <item x="67"/>
        <item x="132"/>
        <item x="236"/>
        <item x="49"/>
        <item x="114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venue" fld="11" baseField="2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14C24-38EB-47D7-A062-4EE1CF22928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276">
        <item x="23"/>
        <item x="155"/>
        <item x="266"/>
        <item x="85"/>
        <item x="108"/>
        <item x="246"/>
        <item x="227"/>
        <item x="237"/>
        <item x="58"/>
        <item x="94"/>
        <item x="137"/>
        <item x="12"/>
        <item x="134"/>
        <item x="223"/>
        <item x="96"/>
        <item x="64"/>
        <item x="73"/>
        <item x="169"/>
        <item x="125"/>
        <item x="124"/>
        <item x="209"/>
        <item x="238"/>
        <item x="109"/>
        <item x="197"/>
        <item x="30"/>
        <item x="160"/>
        <item x="55"/>
        <item x="81"/>
        <item x="230"/>
        <item x="251"/>
        <item x="1"/>
        <item x="177"/>
        <item x="163"/>
        <item x="274"/>
        <item x="222"/>
        <item x="112"/>
        <item x="190"/>
        <item x="262"/>
        <item x="257"/>
        <item x="62"/>
        <item x="170"/>
        <item x="61"/>
        <item x="239"/>
        <item x="28"/>
        <item x="77"/>
        <item x="154"/>
        <item x="208"/>
        <item x="164"/>
        <item x="50"/>
        <item x="269"/>
        <item x="173"/>
        <item x="14"/>
        <item x="110"/>
        <item x="181"/>
        <item x="17"/>
        <item x="165"/>
        <item x="4"/>
        <item x="54"/>
        <item x="9"/>
        <item x="26"/>
        <item x="248"/>
        <item x="156"/>
        <item x="76"/>
        <item x="21"/>
        <item x="167"/>
        <item x="249"/>
        <item x="42"/>
        <item x="32"/>
        <item x="8"/>
        <item x="22"/>
        <item x="59"/>
        <item x="231"/>
        <item x="243"/>
        <item x="273"/>
        <item x="272"/>
        <item x="204"/>
        <item x="161"/>
        <item x="40"/>
        <item x="16"/>
        <item x="179"/>
        <item x="192"/>
        <item x="127"/>
        <item x="143"/>
        <item x="265"/>
        <item x="2"/>
        <item x="72"/>
        <item x="157"/>
        <item x="45"/>
        <item x="103"/>
        <item x="75"/>
        <item x="48"/>
        <item x="80"/>
        <item x="36"/>
        <item x="210"/>
        <item x="184"/>
        <item x="89"/>
        <item x="15"/>
        <item x="147"/>
        <item x="217"/>
        <item x="100"/>
        <item x="11"/>
        <item x="51"/>
        <item x="0"/>
        <item x="53"/>
        <item x="60"/>
        <item x="107"/>
        <item x="189"/>
        <item x="39"/>
        <item x="141"/>
        <item x="218"/>
        <item x="128"/>
        <item x="104"/>
        <item x="146"/>
        <item x="66"/>
        <item x="193"/>
        <item x="69"/>
        <item x="24"/>
        <item x="185"/>
        <item x="27"/>
        <item x="162"/>
        <item x="46"/>
        <item x="133"/>
        <item x="216"/>
        <item x="118"/>
        <item x="101"/>
        <item x="200"/>
        <item x="136"/>
        <item x="83"/>
        <item x="121"/>
        <item x="5"/>
        <item x="34"/>
        <item x="102"/>
        <item x="228"/>
        <item x="6"/>
        <item x="263"/>
        <item x="106"/>
        <item x="57"/>
        <item x="206"/>
        <item x="151"/>
        <item x="65"/>
        <item x="105"/>
        <item x="245"/>
        <item x="138"/>
        <item x="188"/>
        <item x="7"/>
        <item x="18"/>
        <item x="267"/>
        <item x="198"/>
        <item x="183"/>
        <item x="252"/>
        <item x="220"/>
        <item x="229"/>
        <item x="152"/>
        <item x="178"/>
        <item x="123"/>
        <item x="176"/>
        <item x="38"/>
        <item x="270"/>
        <item x="33"/>
        <item x="242"/>
        <item x="74"/>
        <item x="3"/>
        <item x="84"/>
        <item x="271"/>
        <item x="175"/>
        <item x="56"/>
        <item x="98"/>
        <item x="20"/>
        <item x="120"/>
        <item x="126"/>
        <item x="70"/>
        <item x="35"/>
        <item x="113"/>
        <item x="122"/>
        <item x="194"/>
        <item x="140"/>
        <item x="215"/>
        <item x="87"/>
        <item x="90"/>
        <item x="233"/>
        <item x="159"/>
        <item x="214"/>
        <item x="25"/>
        <item x="171"/>
        <item x="224"/>
        <item x="117"/>
        <item x="234"/>
        <item x="174"/>
        <item x="253"/>
        <item x="191"/>
        <item x="52"/>
        <item x="130"/>
        <item x="129"/>
        <item x="63"/>
        <item x="254"/>
        <item x="199"/>
        <item x="256"/>
        <item x="99"/>
        <item x="182"/>
        <item x="135"/>
        <item x="145"/>
        <item x="240"/>
        <item x="211"/>
        <item x="244"/>
        <item x="47"/>
        <item x="31"/>
        <item x="260"/>
        <item x="86"/>
        <item x="79"/>
        <item x="247"/>
        <item x="264"/>
        <item x="255"/>
        <item x="268"/>
        <item x="111"/>
        <item x="186"/>
        <item x="166"/>
        <item x="92"/>
        <item x="139"/>
        <item x="13"/>
        <item x="43"/>
        <item x="142"/>
        <item x="203"/>
        <item x="259"/>
        <item x="219"/>
        <item x="131"/>
        <item x="261"/>
        <item x="225"/>
        <item x="41"/>
        <item x="119"/>
        <item x="29"/>
        <item x="241"/>
        <item x="95"/>
        <item x="78"/>
        <item x="168"/>
        <item x="172"/>
        <item x="180"/>
        <item x="93"/>
        <item x="10"/>
        <item x="235"/>
        <item x="207"/>
        <item x="158"/>
        <item x="258"/>
        <item x="91"/>
        <item x="115"/>
        <item x="144"/>
        <item x="195"/>
        <item x="148"/>
        <item x="232"/>
        <item x="213"/>
        <item x="212"/>
        <item x="88"/>
        <item x="187"/>
        <item x="97"/>
        <item x="37"/>
        <item x="221"/>
        <item x="150"/>
        <item x="44"/>
        <item x="71"/>
        <item x="153"/>
        <item x="196"/>
        <item x="205"/>
        <item x="250"/>
        <item x="149"/>
        <item x="68"/>
        <item x="202"/>
        <item x="226"/>
        <item x="19"/>
        <item x="116"/>
        <item x="201"/>
        <item x="82"/>
        <item x="67"/>
        <item x="132"/>
        <item x="236"/>
        <item x="49"/>
        <item x="114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1" baseField="0" baseItem="0"/>
  </dataFields>
  <chartFormats count="2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E6852-5F4E-4D43-AA21-EF6744F119E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B7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276">
        <item x="23"/>
        <item x="155"/>
        <item x="266"/>
        <item x="85"/>
        <item x="108"/>
        <item x="246"/>
        <item x="227"/>
        <item x="237"/>
        <item x="58"/>
        <item x="94"/>
        <item x="137"/>
        <item x="12"/>
        <item x="134"/>
        <item x="223"/>
        <item x="96"/>
        <item x="64"/>
        <item x="73"/>
        <item x="169"/>
        <item x="125"/>
        <item x="124"/>
        <item x="209"/>
        <item x="238"/>
        <item x="109"/>
        <item x="197"/>
        <item x="30"/>
        <item x="160"/>
        <item x="55"/>
        <item x="81"/>
        <item x="230"/>
        <item x="251"/>
        <item x="1"/>
        <item x="177"/>
        <item x="163"/>
        <item x="274"/>
        <item x="222"/>
        <item x="112"/>
        <item x="190"/>
        <item x="262"/>
        <item x="257"/>
        <item x="62"/>
        <item x="170"/>
        <item x="61"/>
        <item x="239"/>
        <item x="28"/>
        <item x="77"/>
        <item x="154"/>
        <item x="208"/>
        <item x="164"/>
        <item x="50"/>
        <item x="269"/>
        <item x="173"/>
        <item x="14"/>
        <item x="110"/>
        <item x="181"/>
        <item x="17"/>
        <item x="165"/>
        <item x="4"/>
        <item x="54"/>
        <item x="9"/>
        <item x="26"/>
        <item x="248"/>
        <item x="156"/>
        <item x="76"/>
        <item x="21"/>
        <item x="167"/>
        <item x="249"/>
        <item x="42"/>
        <item x="32"/>
        <item x="8"/>
        <item x="22"/>
        <item x="59"/>
        <item x="231"/>
        <item x="243"/>
        <item x="273"/>
        <item x="272"/>
        <item x="204"/>
        <item x="161"/>
        <item x="40"/>
        <item x="16"/>
        <item x="179"/>
        <item x="192"/>
        <item x="127"/>
        <item x="143"/>
        <item x="265"/>
        <item x="2"/>
        <item x="72"/>
        <item x="157"/>
        <item x="45"/>
        <item x="103"/>
        <item x="75"/>
        <item x="48"/>
        <item x="80"/>
        <item x="36"/>
        <item x="210"/>
        <item x="184"/>
        <item x="89"/>
        <item x="15"/>
        <item x="147"/>
        <item x="217"/>
        <item x="100"/>
        <item x="11"/>
        <item x="51"/>
        <item x="0"/>
        <item x="53"/>
        <item x="60"/>
        <item x="107"/>
        <item x="189"/>
        <item x="39"/>
        <item x="141"/>
        <item x="218"/>
        <item x="128"/>
        <item x="104"/>
        <item x="146"/>
        <item x="66"/>
        <item x="193"/>
        <item x="69"/>
        <item x="24"/>
        <item x="185"/>
        <item x="27"/>
        <item x="162"/>
        <item x="46"/>
        <item x="133"/>
        <item x="216"/>
        <item x="118"/>
        <item x="101"/>
        <item x="200"/>
        <item x="136"/>
        <item x="83"/>
        <item x="121"/>
        <item x="5"/>
        <item x="34"/>
        <item x="102"/>
        <item x="228"/>
        <item x="6"/>
        <item x="263"/>
        <item x="106"/>
        <item x="57"/>
        <item x="206"/>
        <item x="151"/>
        <item x="65"/>
        <item x="105"/>
        <item x="245"/>
        <item x="138"/>
        <item x="188"/>
        <item x="7"/>
        <item x="18"/>
        <item x="267"/>
        <item x="198"/>
        <item x="183"/>
        <item x="252"/>
        <item x="220"/>
        <item x="229"/>
        <item x="152"/>
        <item x="178"/>
        <item x="123"/>
        <item x="176"/>
        <item x="38"/>
        <item x="270"/>
        <item x="33"/>
        <item x="242"/>
        <item x="74"/>
        <item x="3"/>
        <item x="84"/>
        <item x="271"/>
        <item x="175"/>
        <item x="56"/>
        <item x="98"/>
        <item x="20"/>
        <item x="120"/>
        <item x="126"/>
        <item x="70"/>
        <item x="35"/>
        <item x="113"/>
        <item x="122"/>
        <item x="194"/>
        <item x="140"/>
        <item x="215"/>
        <item x="87"/>
        <item x="90"/>
        <item x="233"/>
        <item x="159"/>
        <item x="214"/>
        <item x="25"/>
        <item x="171"/>
        <item x="224"/>
        <item x="117"/>
        <item x="234"/>
        <item x="174"/>
        <item x="253"/>
        <item x="191"/>
        <item x="52"/>
        <item x="130"/>
        <item x="129"/>
        <item x="63"/>
        <item x="254"/>
        <item x="199"/>
        <item x="256"/>
        <item x="99"/>
        <item x="182"/>
        <item x="135"/>
        <item x="145"/>
        <item x="240"/>
        <item x="211"/>
        <item x="244"/>
        <item x="47"/>
        <item x="31"/>
        <item x="260"/>
        <item x="86"/>
        <item x="79"/>
        <item x="247"/>
        <item x="264"/>
        <item x="255"/>
        <item x="268"/>
        <item x="111"/>
        <item x="186"/>
        <item x="166"/>
        <item x="92"/>
        <item x="139"/>
        <item x="13"/>
        <item x="43"/>
        <item x="142"/>
        <item x="203"/>
        <item x="259"/>
        <item x="219"/>
        <item x="131"/>
        <item x="261"/>
        <item x="225"/>
        <item x="41"/>
        <item x="119"/>
        <item x="29"/>
        <item x="241"/>
        <item x="95"/>
        <item x="78"/>
        <item x="168"/>
        <item x="172"/>
        <item x="180"/>
        <item x="93"/>
        <item x="10"/>
        <item x="235"/>
        <item x="207"/>
        <item x="158"/>
        <item x="258"/>
        <item x="91"/>
        <item x="115"/>
        <item x="144"/>
        <item x="195"/>
        <item x="148"/>
        <item x="232"/>
        <item x="213"/>
        <item x="212"/>
        <item x="88"/>
        <item x="187"/>
        <item x="97"/>
        <item x="37"/>
        <item x="221"/>
        <item x="150"/>
        <item x="44"/>
        <item x="71"/>
        <item x="153"/>
        <item x="196"/>
        <item x="205"/>
        <item x="250"/>
        <item x="149"/>
        <item x="68"/>
        <item x="202"/>
        <item x="226"/>
        <item x="19"/>
        <item x="116"/>
        <item x="201"/>
        <item x="82"/>
        <item x="67"/>
        <item x="132"/>
        <item x="236"/>
        <item x="49"/>
        <item x="114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" fld="12" baseField="0" baseItem="0"/>
  </dataFields>
  <chartFormats count="2"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E29F0-1F40-44E8-841F-5B2096C29189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numFmtId="14" showAll="0">
      <items count="276">
        <item x="23"/>
        <item x="155"/>
        <item x="266"/>
        <item x="85"/>
        <item x="108"/>
        <item x="246"/>
        <item x="227"/>
        <item x="237"/>
        <item x="58"/>
        <item x="94"/>
        <item x="137"/>
        <item x="12"/>
        <item x="134"/>
        <item x="223"/>
        <item x="96"/>
        <item x="64"/>
        <item x="73"/>
        <item x="169"/>
        <item x="125"/>
        <item x="124"/>
        <item x="209"/>
        <item x="238"/>
        <item x="109"/>
        <item x="197"/>
        <item x="30"/>
        <item x="160"/>
        <item x="55"/>
        <item x="81"/>
        <item x="230"/>
        <item x="251"/>
        <item x="1"/>
        <item x="177"/>
        <item x="163"/>
        <item x="274"/>
        <item x="222"/>
        <item x="112"/>
        <item x="190"/>
        <item x="262"/>
        <item x="257"/>
        <item x="62"/>
        <item x="170"/>
        <item x="61"/>
        <item x="239"/>
        <item x="28"/>
        <item x="77"/>
        <item x="154"/>
        <item x="208"/>
        <item x="164"/>
        <item x="50"/>
        <item x="269"/>
        <item x="173"/>
        <item x="14"/>
        <item x="110"/>
        <item x="181"/>
        <item x="17"/>
        <item x="165"/>
        <item x="4"/>
        <item x="54"/>
        <item x="9"/>
        <item x="26"/>
        <item x="248"/>
        <item x="156"/>
        <item x="76"/>
        <item x="21"/>
        <item x="167"/>
        <item x="249"/>
        <item x="42"/>
        <item x="32"/>
        <item x="8"/>
        <item x="22"/>
        <item x="59"/>
        <item x="231"/>
        <item x="243"/>
        <item x="273"/>
        <item x="272"/>
        <item x="204"/>
        <item x="161"/>
        <item x="40"/>
        <item x="16"/>
        <item x="179"/>
        <item x="192"/>
        <item x="127"/>
        <item x="143"/>
        <item x="265"/>
        <item x="2"/>
        <item x="72"/>
        <item x="157"/>
        <item x="45"/>
        <item x="103"/>
        <item x="75"/>
        <item x="48"/>
        <item x="80"/>
        <item x="36"/>
        <item x="210"/>
        <item x="184"/>
        <item x="89"/>
        <item x="15"/>
        <item x="147"/>
        <item x="217"/>
        <item x="100"/>
        <item x="11"/>
        <item x="51"/>
        <item x="0"/>
        <item x="53"/>
        <item x="60"/>
        <item x="107"/>
        <item x="189"/>
        <item x="39"/>
        <item x="141"/>
        <item x="218"/>
        <item x="128"/>
        <item x="104"/>
        <item x="146"/>
        <item x="66"/>
        <item x="193"/>
        <item x="69"/>
        <item x="24"/>
        <item x="185"/>
        <item x="27"/>
        <item x="162"/>
        <item x="46"/>
        <item x="133"/>
        <item x="216"/>
        <item x="118"/>
        <item x="101"/>
        <item x="200"/>
        <item x="136"/>
        <item x="83"/>
        <item x="121"/>
        <item x="5"/>
        <item x="34"/>
        <item x="102"/>
        <item x="228"/>
        <item x="6"/>
        <item x="263"/>
        <item x="106"/>
        <item x="57"/>
        <item x="206"/>
        <item x="151"/>
        <item x="65"/>
        <item x="105"/>
        <item x="245"/>
        <item x="138"/>
        <item x="188"/>
        <item x="7"/>
        <item x="18"/>
        <item x="267"/>
        <item x="198"/>
        <item x="183"/>
        <item x="252"/>
        <item x="220"/>
        <item x="229"/>
        <item x="152"/>
        <item x="178"/>
        <item x="123"/>
        <item x="176"/>
        <item x="38"/>
        <item x="270"/>
        <item x="33"/>
        <item x="242"/>
        <item x="74"/>
        <item x="3"/>
        <item x="84"/>
        <item x="271"/>
        <item x="175"/>
        <item x="56"/>
        <item x="98"/>
        <item x="20"/>
        <item x="120"/>
        <item x="126"/>
        <item x="70"/>
        <item x="35"/>
        <item x="113"/>
        <item x="122"/>
        <item x="194"/>
        <item x="140"/>
        <item x="215"/>
        <item x="87"/>
        <item x="90"/>
        <item x="233"/>
        <item x="159"/>
        <item x="214"/>
        <item x="25"/>
        <item x="171"/>
        <item x="224"/>
        <item x="117"/>
        <item x="234"/>
        <item x="174"/>
        <item x="253"/>
        <item x="191"/>
        <item x="52"/>
        <item x="130"/>
        <item x="129"/>
        <item x="63"/>
        <item x="254"/>
        <item x="199"/>
        <item x="256"/>
        <item x="99"/>
        <item x="182"/>
        <item x="135"/>
        <item x="145"/>
        <item x="240"/>
        <item x="211"/>
        <item x="244"/>
        <item x="47"/>
        <item x="31"/>
        <item x="260"/>
        <item x="86"/>
        <item x="79"/>
        <item x="247"/>
        <item x="264"/>
        <item x="255"/>
        <item x="268"/>
        <item x="111"/>
        <item x="186"/>
        <item x="166"/>
        <item x="92"/>
        <item x="139"/>
        <item x="13"/>
        <item x="43"/>
        <item x="142"/>
        <item x="203"/>
        <item x="259"/>
        <item x="219"/>
        <item x="131"/>
        <item x="261"/>
        <item x="225"/>
        <item x="41"/>
        <item x="119"/>
        <item x="29"/>
        <item x="241"/>
        <item x="95"/>
        <item x="78"/>
        <item x="168"/>
        <item x="172"/>
        <item x="180"/>
        <item x="93"/>
        <item x="10"/>
        <item x="235"/>
        <item x="207"/>
        <item x="158"/>
        <item x="258"/>
        <item x="91"/>
        <item x="115"/>
        <item x="144"/>
        <item x="195"/>
        <item x="148"/>
        <item x="232"/>
        <item x="213"/>
        <item x="212"/>
        <item x="88"/>
        <item x="187"/>
        <item x="97"/>
        <item x="37"/>
        <item x="221"/>
        <item x="150"/>
        <item x="44"/>
        <item x="71"/>
        <item x="153"/>
        <item x="196"/>
        <item x="205"/>
        <item x="250"/>
        <item x="149"/>
        <item x="68"/>
        <item x="202"/>
        <item x="226"/>
        <item x="19"/>
        <item x="116"/>
        <item x="201"/>
        <item x="82"/>
        <item x="67"/>
        <item x="132"/>
        <item x="236"/>
        <item x="49"/>
        <item x="114"/>
        <item t="default"/>
      </items>
    </pivotField>
    <pivotField axis="axisRow" showAll="0" sortType="descending">
      <items count="9">
        <item x="4"/>
        <item x="1"/>
        <item x="0"/>
        <item x="7"/>
        <item x="5"/>
        <item x="2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9">
    <i>
      <x v="6"/>
    </i>
    <i>
      <x v="2"/>
    </i>
    <i>
      <x v="4"/>
    </i>
    <i>
      <x v="1"/>
    </i>
    <i>
      <x v="5"/>
    </i>
    <i>
      <x v="7"/>
    </i>
    <i>
      <x v="3"/>
    </i>
    <i>
      <x/>
    </i>
    <i t="grand">
      <x/>
    </i>
  </rowItems>
  <colItems count="1">
    <i/>
  </colItems>
  <dataFields count="1">
    <dataField name="Sum of revenue" fld="1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E0C44-AD4F-4316-9728-9EB4048E0827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276">
        <item x="23"/>
        <item x="155"/>
        <item x="266"/>
        <item x="85"/>
        <item x="108"/>
        <item x="246"/>
        <item x="227"/>
        <item x="237"/>
        <item x="58"/>
        <item x="94"/>
        <item x="137"/>
        <item x="12"/>
        <item x="134"/>
        <item x="223"/>
        <item x="96"/>
        <item x="64"/>
        <item x="73"/>
        <item x="169"/>
        <item x="125"/>
        <item x="124"/>
        <item x="209"/>
        <item x="238"/>
        <item x="109"/>
        <item x="197"/>
        <item x="30"/>
        <item x="160"/>
        <item x="55"/>
        <item x="81"/>
        <item x="230"/>
        <item x="251"/>
        <item x="1"/>
        <item x="177"/>
        <item x="163"/>
        <item x="274"/>
        <item x="222"/>
        <item x="112"/>
        <item x="190"/>
        <item x="262"/>
        <item x="257"/>
        <item x="62"/>
        <item x="170"/>
        <item x="61"/>
        <item x="239"/>
        <item x="28"/>
        <item x="77"/>
        <item x="154"/>
        <item x="208"/>
        <item x="164"/>
        <item x="50"/>
        <item x="269"/>
        <item x="173"/>
        <item x="14"/>
        <item x="110"/>
        <item x="181"/>
        <item x="17"/>
        <item x="165"/>
        <item x="4"/>
        <item x="54"/>
        <item x="9"/>
        <item x="26"/>
        <item x="248"/>
        <item x="156"/>
        <item x="76"/>
        <item x="21"/>
        <item x="167"/>
        <item x="249"/>
        <item x="42"/>
        <item x="32"/>
        <item x="8"/>
        <item x="22"/>
        <item x="59"/>
        <item x="231"/>
        <item x="243"/>
        <item x="273"/>
        <item x="272"/>
        <item x="204"/>
        <item x="161"/>
        <item x="40"/>
        <item x="16"/>
        <item x="179"/>
        <item x="192"/>
        <item x="127"/>
        <item x="143"/>
        <item x="265"/>
        <item x="2"/>
        <item x="72"/>
        <item x="157"/>
        <item x="45"/>
        <item x="103"/>
        <item x="75"/>
        <item x="48"/>
        <item x="80"/>
        <item x="36"/>
        <item x="210"/>
        <item x="184"/>
        <item x="89"/>
        <item x="15"/>
        <item x="147"/>
        <item x="217"/>
        <item x="100"/>
        <item x="11"/>
        <item x="51"/>
        <item x="0"/>
        <item x="53"/>
        <item x="60"/>
        <item x="107"/>
        <item x="189"/>
        <item x="39"/>
        <item x="141"/>
        <item x="218"/>
        <item x="128"/>
        <item x="104"/>
        <item x="146"/>
        <item x="66"/>
        <item x="193"/>
        <item x="69"/>
        <item x="24"/>
        <item x="185"/>
        <item x="27"/>
        <item x="162"/>
        <item x="46"/>
        <item x="133"/>
        <item x="216"/>
        <item x="118"/>
        <item x="101"/>
        <item x="200"/>
        <item x="136"/>
        <item x="83"/>
        <item x="121"/>
        <item x="5"/>
        <item x="34"/>
        <item x="102"/>
        <item x="228"/>
        <item x="6"/>
        <item x="263"/>
        <item x="106"/>
        <item x="57"/>
        <item x="206"/>
        <item x="151"/>
        <item x="65"/>
        <item x="105"/>
        <item x="245"/>
        <item x="138"/>
        <item x="188"/>
        <item x="7"/>
        <item x="18"/>
        <item x="267"/>
        <item x="198"/>
        <item x="183"/>
        <item x="252"/>
        <item x="220"/>
        <item x="229"/>
        <item x="152"/>
        <item x="178"/>
        <item x="123"/>
        <item x="176"/>
        <item x="38"/>
        <item x="270"/>
        <item x="33"/>
        <item x="242"/>
        <item x="74"/>
        <item x="3"/>
        <item x="84"/>
        <item x="271"/>
        <item x="175"/>
        <item x="56"/>
        <item x="98"/>
        <item x="20"/>
        <item x="120"/>
        <item x="126"/>
        <item x="70"/>
        <item x="35"/>
        <item x="113"/>
        <item x="122"/>
        <item x="194"/>
        <item x="140"/>
        <item x="215"/>
        <item x="87"/>
        <item x="90"/>
        <item x="233"/>
        <item x="159"/>
        <item x="214"/>
        <item x="25"/>
        <item x="171"/>
        <item x="224"/>
        <item x="117"/>
        <item x="234"/>
        <item x="174"/>
        <item x="253"/>
        <item x="191"/>
        <item x="52"/>
        <item x="130"/>
        <item x="129"/>
        <item x="63"/>
        <item x="254"/>
        <item x="199"/>
        <item x="256"/>
        <item x="99"/>
        <item x="182"/>
        <item x="135"/>
        <item x="145"/>
        <item x="240"/>
        <item x="211"/>
        <item x="244"/>
        <item x="47"/>
        <item x="31"/>
        <item x="260"/>
        <item x="86"/>
        <item x="79"/>
        <item x="247"/>
        <item x="264"/>
        <item x="255"/>
        <item x="268"/>
        <item x="111"/>
        <item x="186"/>
        <item x="166"/>
        <item x="92"/>
        <item x="139"/>
        <item x="13"/>
        <item x="43"/>
        <item x="142"/>
        <item x="203"/>
        <item x="259"/>
        <item x="219"/>
        <item x="131"/>
        <item x="261"/>
        <item x="225"/>
        <item x="41"/>
        <item x="119"/>
        <item x="29"/>
        <item x="241"/>
        <item x="95"/>
        <item x="78"/>
        <item x="168"/>
        <item x="172"/>
        <item x="180"/>
        <item x="93"/>
        <item x="10"/>
        <item x="235"/>
        <item x="207"/>
        <item x="158"/>
        <item x="258"/>
        <item x="91"/>
        <item x="115"/>
        <item x="144"/>
        <item x="195"/>
        <item x="148"/>
        <item x="232"/>
        <item x="213"/>
        <item x="212"/>
        <item x="88"/>
        <item x="187"/>
        <item x="97"/>
        <item x="37"/>
        <item x="221"/>
        <item x="150"/>
        <item x="44"/>
        <item x="71"/>
        <item x="153"/>
        <item x="196"/>
        <item x="205"/>
        <item x="250"/>
        <item x="149"/>
        <item x="68"/>
        <item x="202"/>
        <item x="226"/>
        <item x="19"/>
        <item x="116"/>
        <item x="201"/>
        <item x="82"/>
        <item x="67"/>
        <item x="132"/>
        <item x="236"/>
        <item x="49"/>
        <item x="114"/>
        <item t="default"/>
      </items>
    </pivotField>
    <pivotField showAll="0"/>
    <pivotField axis="axisRow" showAll="0" sortType="descending">
      <items count="6">
        <item x="4"/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6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BFD67F-9F02-41C1-93B5-2B1803AF4C1A}" name="Table1" displayName="Table1" ref="A1:M501" totalsRowShown="0">
  <autoFilter ref="A1:M501" xr:uid="{46BFD67F-9F02-41C1-93B5-2B1803AF4C1A}"/>
  <tableColumns count="13">
    <tableColumn id="1" xr3:uid="{56228107-E750-44F3-8FE3-0FC0A5490134}" name="order_id"/>
    <tableColumn id="2" xr3:uid="{AA375458-EF3D-4EE4-8244-808BEE94D5E8}" name="customer_id"/>
    <tableColumn id="3" xr3:uid="{20FA7781-5F84-4063-A3FE-26324D23147C}" name="customer_name"/>
    <tableColumn id="4" xr3:uid="{1F66D187-B94C-43AD-B011-020F51C844F7}" name="product"/>
    <tableColumn id="5" xr3:uid="{4E87BB88-92E4-4BD9-B74E-A69CD55B3510}" name="category"/>
    <tableColumn id="6" xr3:uid="{16A8F50F-6E10-4FE9-99A9-D70724BAC12F}" name="quantity"/>
    <tableColumn id="7" xr3:uid="{61723399-216C-4416-8BA8-D97645155522}" name="price"/>
    <tableColumn id="8" xr3:uid="{9D462C4D-F3AB-4713-BB19-B2151BFB9F67}" name="order_date" dataDxfId="0"/>
    <tableColumn id="9" xr3:uid="{1D94980F-49C7-41BD-BE68-206DC0B37649}" name="region"/>
    <tableColumn id="10" xr3:uid="{45575782-F52A-4C62-B8BF-7E13A9DFC969}" name="payment_method"/>
    <tableColumn id="11" xr3:uid="{C7AADCAF-8123-4271-A259-4208B1A37F87}" name="cost"/>
    <tableColumn id="12" xr3:uid="{E3272F55-CB64-44E6-8EBC-CC9FA24C1C9F}" name="revenue"/>
    <tableColumn id="13" xr3:uid="{99E078F5-0A6E-434A-9FDD-CFC14D14FF3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34DB-B442-41B8-BA1D-2A9B41B4874B}">
  <dimension ref="A3:D24"/>
  <sheetViews>
    <sheetView topLeftCell="A3" workbookViewId="0">
      <selection activeCell="I23" sqref="I23"/>
    </sheetView>
  </sheetViews>
  <sheetFormatPr defaultRowHeight="15" x14ac:dyDescent="0.25"/>
  <cols>
    <col min="1" max="1" width="13.42578125" bestFit="1" customWidth="1"/>
    <col min="2" max="3" width="15.28515625" bestFit="1" customWidth="1"/>
  </cols>
  <sheetData>
    <row r="3" spans="1:4" x14ac:dyDescent="0.25">
      <c r="A3" s="2" t="s">
        <v>710</v>
      </c>
      <c r="B3" t="s">
        <v>712</v>
      </c>
    </row>
    <row r="4" spans="1:4" x14ac:dyDescent="0.25">
      <c r="A4" s="3" t="s">
        <v>32</v>
      </c>
      <c r="B4" s="4">
        <v>208600</v>
      </c>
    </row>
    <row r="5" spans="1:4" x14ac:dyDescent="0.25">
      <c r="A5" s="3" t="s">
        <v>61</v>
      </c>
      <c r="B5" s="4">
        <v>300200</v>
      </c>
    </row>
    <row r="6" spans="1:4" x14ac:dyDescent="0.25">
      <c r="A6" s="3" t="s">
        <v>22</v>
      </c>
      <c r="B6" s="4">
        <v>561700</v>
      </c>
    </row>
    <row r="7" spans="1:4" x14ac:dyDescent="0.25">
      <c r="A7" s="3" t="s">
        <v>57</v>
      </c>
      <c r="B7" s="4">
        <v>520900</v>
      </c>
    </row>
    <row r="8" spans="1:4" x14ac:dyDescent="0.25">
      <c r="A8" s="3" t="s">
        <v>70</v>
      </c>
      <c r="B8" s="4">
        <v>108200</v>
      </c>
    </row>
    <row r="9" spans="1:4" x14ac:dyDescent="0.25">
      <c r="A9" s="3" t="s">
        <v>15</v>
      </c>
      <c r="B9" s="4">
        <v>759900</v>
      </c>
      <c r="C9" s="3"/>
      <c r="D9" s="4"/>
    </row>
    <row r="10" spans="1:4" x14ac:dyDescent="0.25">
      <c r="A10" s="3" t="s">
        <v>124</v>
      </c>
      <c r="B10" s="4">
        <v>549500</v>
      </c>
    </row>
    <row r="11" spans="1:4" x14ac:dyDescent="0.25">
      <c r="A11" s="3" t="s">
        <v>121</v>
      </c>
      <c r="B11" s="4">
        <v>221900</v>
      </c>
    </row>
    <row r="12" spans="1:4" x14ac:dyDescent="0.25">
      <c r="A12" s="3" t="s">
        <v>89</v>
      </c>
      <c r="B12" s="4">
        <v>575000</v>
      </c>
    </row>
    <row r="13" spans="1:4" x14ac:dyDescent="0.25">
      <c r="A13" s="3" t="s">
        <v>133</v>
      </c>
      <c r="B13" s="4">
        <v>207300</v>
      </c>
    </row>
    <row r="14" spans="1:4" x14ac:dyDescent="0.25">
      <c r="A14" s="3" t="s">
        <v>48</v>
      </c>
      <c r="B14" s="4">
        <v>631100</v>
      </c>
    </row>
    <row r="15" spans="1:4" x14ac:dyDescent="0.25">
      <c r="A15" s="3" t="s">
        <v>118</v>
      </c>
      <c r="B15" s="4">
        <v>416600</v>
      </c>
    </row>
    <row r="16" spans="1:4" x14ac:dyDescent="0.25">
      <c r="A16" s="3" t="s">
        <v>84</v>
      </c>
      <c r="B16" s="4">
        <v>572100</v>
      </c>
    </row>
    <row r="17" spans="1:2" x14ac:dyDescent="0.25">
      <c r="A17" s="3" t="s">
        <v>51</v>
      </c>
      <c r="B17" s="4">
        <v>457200</v>
      </c>
    </row>
    <row r="18" spans="1:2" x14ac:dyDescent="0.25">
      <c r="A18" s="3" t="s">
        <v>42</v>
      </c>
      <c r="B18" s="4">
        <v>447300</v>
      </c>
    </row>
    <row r="19" spans="1:2" x14ac:dyDescent="0.25">
      <c r="A19" s="3" t="s">
        <v>157</v>
      </c>
      <c r="B19" s="4">
        <v>344400</v>
      </c>
    </row>
    <row r="20" spans="1:2" x14ac:dyDescent="0.25">
      <c r="A20" s="3" t="s">
        <v>102</v>
      </c>
      <c r="B20" s="4">
        <v>483200</v>
      </c>
    </row>
    <row r="21" spans="1:2" x14ac:dyDescent="0.25">
      <c r="A21" s="3" t="s">
        <v>66</v>
      </c>
      <c r="B21" s="4">
        <v>244500</v>
      </c>
    </row>
    <row r="22" spans="1:2" x14ac:dyDescent="0.25">
      <c r="A22" s="3" t="s">
        <v>27</v>
      </c>
      <c r="B22" s="4">
        <v>590500</v>
      </c>
    </row>
    <row r="23" spans="1:2" x14ac:dyDescent="0.25">
      <c r="A23" s="3" t="s">
        <v>191</v>
      </c>
      <c r="B23" s="4">
        <v>288600</v>
      </c>
    </row>
    <row r="24" spans="1:2" x14ac:dyDescent="0.25">
      <c r="A24" s="3" t="s">
        <v>711</v>
      </c>
      <c r="B24" s="4">
        <v>8488700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439F-4B50-484E-AFC9-AF655D1750E9}">
  <dimension ref="A3:B16"/>
  <sheetViews>
    <sheetView workbookViewId="0">
      <selection activeCell="O8" sqref="O8"/>
    </sheetView>
  </sheetViews>
  <sheetFormatPr defaultRowHeight="15" x14ac:dyDescent="0.25"/>
  <cols>
    <col min="1" max="1" width="13.42578125" bestFit="1" customWidth="1"/>
    <col min="2" max="2" width="15.28515625" bestFit="1" customWidth="1"/>
  </cols>
  <sheetData>
    <row r="3" spans="1:2" x14ac:dyDescent="0.25">
      <c r="A3" s="2" t="s">
        <v>710</v>
      </c>
      <c r="B3" t="s">
        <v>712</v>
      </c>
    </row>
    <row r="4" spans="1:2" x14ac:dyDescent="0.25">
      <c r="A4" s="3" t="s">
        <v>713</v>
      </c>
      <c r="B4" s="4">
        <v>455200</v>
      </c>
    </row>
    <row r="5" spans="1:2" x14ac:dyDescent="0.25">
      <c r="A5" s="3" t="s">
        <v>714</v>
      </c>
      <c r="B5" s="4">
        <v>1048200</v>
      </c>
    </row>
    <row r="6" spans="1:2" x14ac:dyDescent="0.25">
      <c r="A6" s="3" t="s">
        <v>715</v>
      </c>
      <c r="B6" s="4">
        <v>554000</v>
      </c>
    </row>
    <row r="7" spans="1:2" x14ac:dyDescent="0.25">
      <c r="A7" s="3" t="s">
        <v>716</v>
      </c>
      <c r="B7" s="4">
        <v>630000</v>
      </c>
    </row>
    <row r="8" spans="1:2" x14ac:dyDescent="0.25">
      <c r="A8" s="3" t="s">
        <v>717</v>
      </c>
      <c r="B8" s="4">
        <v>1391200</v>
      </c>
    </row>
    <row r="9" spans="1:2" x14ac:dyDescent="0.25">
      <c r="A9" s="3" t="s">
        <v>718</v>
      </c>
      <c r="B9" s="4">
        <v>960700</v>
      </c>
    </row>
    <row r="10" spans="1:2" x14ac:dyDescent="0.25">
      <c r="A10" s="3" t="s">
        <v>719</v>
      </c>
      <c r="B10" s="4">
        <v>630900</v>
      </c>
    </row>
    <row r="11" spans="1:2" x14ac:dyDescent="0.25">
      <c r="A11" s="3" t="s">
        <v>720</v>
      </c>
      <c r="B11" s="4">
        <v>790000</v>
      </c>
    </row>
    <row r="12" spans="1:2" x14ac:dyDescent="0.25">
      <c r="A12" s="3" t="s">
        <v>721</v>
      </c>
      <c r="B12" s="4">
        <v>498900</v>
      </c>
    </row>
    <row r="13" spans="1:2" x14ac:dyDescent="0.25">
      <c r="A13" s="3" t="s">
        <v>722</v>
      </c>
      <c r="B13" s="4">
        <v>566300</v>
      </c>
    </row>
    <row r="14" spans="1:2" x14ac:dyDescent="0.25">
      <c r="A14" s="3" t="s">
        <v>723</v>
      </c>
      <c r="B14" s="4">
        <v>512500</v>
      </c>
    </row>
    <row r="15" spans="1:2" x14ac:dyDescent="0.25">
      <c r="A15" s="3" t="s">
        <v>724</v>
      </c>
      <c r="B15" s="4">
        <v>450800</v>
      </c>
    </row>
    <row r="16" spans="1:2" x14ac:dyDescent="0.25">
      <c r="A16" s="3" t="s">
        <v>711</v>
      </c>
      <c r="B16" s="4">
        <v>8488700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FAE1-3BC4-4338-8B44-80F47C9D4BEB}">
  <dimension ref="A3:B7"/>
  <sheetViews>
    <sheetView workbookViewId="0">
      <selection activeCell="O8" sqref="O8"/>
    </sheetView>
  </sheetViews>
  <sheetFormatPr defaultRowHeight="15" x14ac:dyDescent="0.25"/>
  <cols>
    <col min="1" max="1" width="15" bestFit="1" customWidth="1"/>
    <col min="2" max="2" width="12.7109375" bestFit="1" customWidth="1"/>
  </cols>
  <sheetData>
    <row r="3" spans="1:2" x14ac:dyDescent="0.25">
      <c r="A3" s="2" t="s">
        <v>710</v>
      </c>
      <c r="B3" t="s">
        <v>725</v>
      </c>
    </row>
    <row r="4" spans="1:2" x14ac:dyDescent="0.25">
      <c r="A4" s="3" t="s">
        <v>17</v>
      </c>
      <c r="B4" s="4">
        <v>1616600</v>
      </c>
    </row>
    <row r="5" spans="1:2" x14ac:dyDescent="0.25">
      <c r="A5" s="3" t="s">
        <v>53</v>
      </c>
      <c r="B5" s="4">
        <v>460100</v>
      </c>
    </row>
    <row r="6" spans="1:2" x14ac:dyDescent="0.25">
      <c r="A6" s="3" t="s">
        <v>34</v>
      </c>
      <c r="B6" s="4">
        <v>326500</v>
      </c>
    </row>
    <row r="7" spans="1:2" x14ac:dyDescent="0.25">
      <c r="A7" s="3" t="s">
        <v>711</v>
      </c>
      <c r="B7" s="4">
        <v>2403200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9AAB-4703-4AC7-8002-3F3CEA6A38D4}">
  <dimension ref="A3:B12"/>
  <sheetViews>
    <sheetView workbookViewId="0">
      <selection activeCell="N10" sqref="N10"/>
    </sheetView>
  </sheetViews>
  <sheetFormatPr defaultRowHeight="15" x14ac:dyDescent="0.25"/>
  <cols>
    <col min="1" max="1" width="13.42578125" bestFit="1" customWidth="1"/>
    <col min="2" max="2" width="15.28515625" bestFit="1" customWidth="1"/>
  </cols>
  <sheetData>
    <row r="3" spans="1:2" x14ac:dyDescent="0.25">
      <c r="A3" s="2" t="s">
        <v>710</v>
      </c>
      <c r="B3" t="s">
        <v>712</v>
      </c>
    </row>
    <row r="4" spans="1:2" x14ac:dyDescent="0.25">
      <c r="A4" s="3" t="s">
        <v>63</v>
      </c>
      <c r="B4" s="4">
        <v>1592200</v>
      </c>
    </row>
    <row r="5" spans="1:2" x14ac:dyDescent="0.25">
      <c r="A5" s="3" t="s">
        <v>18</v>
      </c>
      <c r="B5" s="4">
        <v>1534500</v>
      </c>
    </row>
    <row r="6" spans="1:2" x14ac:dyDescent="0.25">
      <c r="A6" s="3" t="s">
        <v>54</v>
      </c>
      <c r="B6" s="4">
        <v>1156600</v>
      </c>
    </row>
    <row r="7" spans="1:2" x14ac:dyDescent="0.25">
      <c r="A7" s="3" t="s">
        <v>23</v>
      </c>
      <c r="B7" s="4">
        <v>996200</v>
      </c>
    </row>
    <row r="8" spans="1:2" x14ac:dyDescent="0.25">
      <c r="A8" s="3" t="s">
        <v>35</v>
      </c>
      <c r="B8" s="4">
        <v>908900</v>
      </c>
    </row>
    <row r="9" spans="1:2" x14ac:dyDescent="0.25">
      <c r="A9" s="3" t="s">
        <v>38</v>
      </c>
      <c r="B9" s="4">
        <v>903300</v>
      </c>
    </row>
    <row r="10" spans="1:2" x14ac:dyDescent="0.25">
      <c r="A10" s="3" t="s">
        <v>79</v>
      </c>
      <c r="B10" s="4">
        <v>789200</v>
      </c>
    </row>
    <row r="11" spans="1:2" x14ac:dyDescent="0.25">
      <c r="A11" s="3" t="s">
        <v>44</v>
      </c>
      <c r="B11" s="4">
        <v>607800</v>
      </c>
    </row>
    <row r="12" spans="1:2" x14ac:dyDescent="0.25">
      <c r="A12" s="3" t="s">
        <v>711</v>
      </c>
      <c r="B12" s="4">
        <v>8488700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FBA2-D311-4AF5-A82D-AF7D3AAA1291}">
  <dimension ref="A3:B9"/>
  <sheetViews>
    <sheetView workbookViewId="0">
      <selection activeCell="A3" sqref="A3:B8"/>
    </sheetView>
  </sheetViews>
  <sheetFormatPr defaultRowHeight="15" x14ac:dyDescent="0.25"/>
  <cols>
    <col min="1" max="1" width="15.5703125" bestFit="1" customWidth="1"/>
    <col min="2" max="2" width="16.85546875" bestFit="1" customWidth="1"/>
  </cols>
  <sheetData>
    <row r="3" spans="1:2" x14ac:dyDescent="0.25">
      <c r="A3" s="2" t="s">
        <v>710</v>
      </c>
      <c r="B3" t="s">
        <v>726</v>
      </c>
    </row>
    <row r="4" spans="1:2" x14ac:dyDescent="0.25">
      <c r="A4" s="3" t="s">
        <v>45</v>
      </c>
      <c r="B4" s="4">
        <v>107</v>
      </c>
    </row>
    <row r="5" spans="1:2" x14ac:dyDescent="0.25">
      <c r="A5" s="3" t="s">
        <v>39</v>
      </c>
      <c r="B5" s="4">
        <v>103</v>
      </c>
    </row>
    <row r="6" spans="1:2" x14ac:dyDescent="0.25">
      <c r="A6" s="3" t="s">
        <v>29</v>
      </c>
      <c r="B6" s="4">
        <v>102</v>
      </c>
    </row>
    <row r="7" spans="1:2" x14ac:dyDescent="0.25">
      <c r="A7" s="3" t="s">
        <v>19</v>
      </c>
      <c r="B7" s="4">
        <v>101</v>
      </c>
    </row>
    <row r="8" spans="1:2" x14ac:dyDescent="0.25">
      <c r="A8" s="3" t="s">
        <v>24</v>
      </c>
      <c r="B8" s="4">
        <v>87</v>
      </c>
    </row>
    <row r="9" spans="1:2" x14ac:dyDescent="0.25">
      <c r="A9" s="3" t="s">
        <v>711</v>
      </c>
      <c r="B9" s="4">
        <v>500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B4A1-D48F-4856-8683-7B1543EE5355}">
  <dimension ref="A1:J5"/>
  <sheetViews>
    <sheetView showGridLines="0" tabSelected="1" zoomScale="48" zoomScaleNormal="51" workbookViewId="0">
      <selection activeCell="X17" sqref="X17"/>
    </sheetView>
  </sheetViews>
  <sheetFormatPr defaultRowHeight="15" x14ac:dyDescent="0.25"/>
  <cols>
    <col min="2" max="2" width="23.7109375" bestFit="1" customWidth="1"/>
    <col min="4" max="4" width="31.85546875" customWidth="1"/>
    <col min="7" max="7" width="23.140625" customWidth="1"/>
    <col min="8" max="8" width="26.140625" customWidth="1"/>
    <col min="9" max="9" width="29.28515625" customWidth="1"/>
  </cols>
  <sheetData>
    <row r="1" spans="1:10" ht="36" x14ac:dyDescent="0.55000000000000004">
      <c r="B1" s="5"/>
      <c r="I1" s="16" t="s">
        <v>731</v>
      </c>
    </row>
    <row r="3" spans="1:10" ht="31.5" x14ac:dyDescent="0.5">
      <c r="A3" s="8"/>
      <c r="B3" s="6" t="s">
        <v>727</v>
      </c>
      <c r="C3" s="9"/>
      <c r="D3" s="6" t="s">
        <v>728</v>
      </c>
      <c r="E3" s="10"/>
      <c r="F3" s="6" t="s">
        <v>729</v>
      </c>
      <c r="G3" s="10"/>
      <c r="H3" s="6" t="s">
        <v>730</v>
      </c>
      <c r="I3" s="10"/>
      <c r="J3" s="7"/>
    </row>
    <row r="4" spans="1:10" ht="31.5" x14ac:dyDescent="0.5">
      <c r="A4" s="8"/>
      <c r="B4" s="11">
        <v>8488700</v>
      </c>
      <c r="C4" s="12"/>
      <c r="D4" s="11">
        <v>2403200</v>
      </c>
      <c r="E4" s="13"/>
      <c r="F4" s="14">
        <v>500</v>
      </c>
      <c r="G4" s="13"/>
      <c r="H4" s="15">
        <v>16977.400000000001</v>
      </c>
      <c r="I4" s="13"/>
      <c r="J4" s="7"/>
    </row>
    <row r="5" spans="1:10" ht="31.5" x14ac:dyDescent="0.5">
      <c r="B5" s="10"/>
      <c r="C5" s="7"/>
      <c r="D5" s="7"/>
      <c r="E5" s="7"/>
      <c r="F5" s="7"/>
      <c r="G5" s="7"/>
      <c r="H5" s="7"/>
      <c r="I5" s="7"/>
      <c r="J5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CDE4-5015-4B51-BFB3-643A3E137232}">
  <dimension ref="A1:O501"/>
  <sheetViews>
    <sheetView topLeftCell="C1" workbookViewId="0">
      <selection activeCell="O16" sqref="O16"/>
    </sheetView>
  </sheetViews>
  <sheetFormatPr defaultRowHeight="15" x14ac:dyDescent="0.25"/>
  <cols>
    <col min="1" max="1" width="10.5703125" customWidth="1"/>
    <col min="2" max="2" width="14.28515625" customWidth="1"/>
    <col min="3" max="3" width="17.5703125" customWidth="1"/>
    <col min="4" max="4" width="10.140625" customWidth="1"/>
    <col min="5" max="5" width="10.85546875" customWidth="1"/>
    <col min="6" max="6" width="10.5703125" customWidth="1"/>
    <col min="8" max="8" width="12.85546875" customWidth="1"/>
    <col min="10" max="10" width="18.85546875" customWidth="1"/>
    <col min="12" max="12" width="10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>
        <v>5000</v>
      </c>
      <c r="H2" s="1">
        <v>45798</v>
      </c>
      <c r="I2" t="s">
        <v>18</v>
      </c>
      <c r="J2" t="s">
        <v>19</v>
      </c>
      <c r="K2">
        <v>3200</v>
      </c>
      <c r="L2">
        <v>5000</v>
      </c>
      <c r="M2">
        <v>1800</v>
      </c>
    </row>
    <row r="3" spans="1:15" x14ac:dyDescent="0.25">
      <c r="A3" t="s">
        <v>20</v>
      </c>
      <c r="B3" t="s">
        <v>21</v>
      </c>
      <c r="C3" t="s">
        <v>22</v>
      </c>
      <c r="D3" t="s">
        <v>16</v>
      </c>
      <c r="E3" t="s">
        <v>17</v>
      </c>
      <c r="F3">
        <v>5</v>
      </c>
      <c r="G3">
        <v>5000</v>
      </c>
      <c r="H3" s="1">
        <v>45702</v>
      </c>
      <c r="I3" t="s">
        <v>23</v>
      </c>
      <c r="J3" t="s">
        <v>24</v>
      </c>
      <c r="K3">
        <v>3200</v>
      </c>
      <c r="L3">
        <v>25000</v>
      </c>
      <c r="M3">
        <v>9000</v>
      </c>
    </row>
    <row r="4" spans="1:15" x14ac:dyDescent="0.25">
      <c r="A4" t="s">
        <v>25</v>
      </c>
      <c r="B4" t="s">
        <v>26</v>
      </c>
      <c r="C4" t="s">
        <v>27</v>
      </c>
      <c r="D4" t="s">
        <v>28</v>
      </c>
      <c r="E4" t="s">
        <v>17</v>
      </c>
      <c r="F4">
        <v>2</v>
      </c>
      <c r="G4">
        <v>2500</v>
      </c>
      <c r="H4" s="1">
        <v>45777</v>
      </c>
      <c r="I4" t="s">
        <v>23</v>
      </c>
      <c r="J4" t="s">
        <v>29</v>
      </c>
      <c r="K4">
        <v>1500</v>
      </c>
      <c r="L4">
        <v>5000</v>
      </c>
      <c r="M4">
        <v>2000</v>
      </c>
    </row>
    <row r="5" spans="1:15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5</v>
      </c>
      <c r="G5">
        <v>800</v>
      </c>
      <c r="H5" s="1">
        <v>45872</v>
      </c>
      <c r="I5" t="s">
        <v>35</v>
      </c>
      <c r="J5" t="s">
        <v>29</v>
      </c>
      <c r="K5">
        <v>450</v>
      </c>
      <c r="L5">
        <v>4000</v>
      </c>
      <c r="M5">
        <v>1750</v>
      </c>
    </row>
    <row r="6" spans="1:15" x14ac:dyDescent="0.25">
      <c r="A6" t="s">
        <v>36</v>
      </c>
      <c r="B6" t="s">
        <v>21</v>
      </c>
      <c r="C6" t="s">
        <v>22</v>
      </c>
      <c r="D6" t="s">
        <v>37</v>
      </c>
      <c r="E6" t="s">
        <v>34</v>
      </c>
      <c r="F6">
        <v>1</v>
      </c>
      <c r="G6">
        <v>3000</v>
      </c>
      <c r="H6" s="1">
        <v>45739</v>
      </c>
      <c r="I6" t="s">
        <v>38</v>
      </c>
      <c r="J6" t="s">
        <v>39</v>
      </c>
      <c r="K6">
        <v>1900</v>
      </c>
      <c r="L6">
        <v>3000</v>
      </c>
      <c r="M6">
        <v>1100</v>
      </c>
    </row>
    <row r="7" spans="1:15" x14ac:dyDescent="0.25">
      <c r="A7" t="s">
        <v>40</v>
      </c>
      <c r="B7" t="s">
        <v>41</v>
      </c>
      <c r="C7" t="s">
        <v>42</v>
      </c>
      <c r="D7" t="s">
        <v>43</v>
      </c>
      <c r="E7" t="s">
        <v>17</v>
      </c>
      <c r="F7">
        <v>2</v>
      </c>
      <c r="G7">
        <v>1800</v>
      </c>
      <c r="H7" s="1">
        <v>45830</v>
      </c>
      <c r="I7" t="s">
        <v>44</v>
      </c>
      <c r="J7" t="s">
        <v>45</v>
      </c>
      <c r="K7">
        <v>1100</v>
      </c>
      <c r="L7">
        <v>3600</v>
      </c>
      <c r="M7">
        <v>1400</v>
      </c>
      <c r="O7">
        <f>SUM(Table1[revenue])</f>
        <v>8488700</v>
      </c>
    </row>
    <row r="8" spans="1:15" x14ac:dyDescent="0.25">
      <c r="A8" t="s">
        <v>46</v>
      </c>
      <c r="B8" t="s">
        <v>47</v>
      </c>
      <c r="C8" t="s">
        <v>48</v>
      </c>
      <c r="D8" t="s">
        <v>16</v>
      </c>
      <c r="E8" t="s">
        <v>17</v>
      </c>
      <c r="F8">
        <v>3</v>
      </c>
      <c r="G8">
        <v>5000</v>
      </c>
      <c r="H8" s="1">
        <v>45834</v>
      </c>
      <c r="I8" t="s">
        <v>23</v>
      </c>
      <c r="J8" t="s">
        <v>45</v>
      </c>
      <c r="K8">
        <v>3200</v>
      </c>
      <c r="L8">
        <v>15000</v>
      </c>
      <c r="M8">
        <v>5400</v>
      </c>
    </row>
    <row r="9" spans="1:15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>
        <v>1</v>
      </c>
      <c r="G9">
        <v>700</v>
      </c>
      <c r="H9" s="1">
        <v>45851</v>
      </c>
      <c r="I9" t="s">
        <v>54</v>
      </c>
      <c r="J9" t="s">
        <v>29</v>
      </c>
      <c r="K9">
        <v>350</v>
      </c>
      <c r="L9">
        <v>700</v>
      </c>
      <c r="M9">
        <v>350</v>
      </c>
      <c r="O9">
        <f>SUM(M:M)</f>
        <v>2403200</v>
      </c>
    </row>
    <row r="10" spans="1:15" x14ac:dyDescent="0.25">
      <c r="A10" t="s">
        <v>55</v>
      </c>
      <c r="B10" t="s">
        <v>56</v>
      </c>
      <c r="C10" t="s">
        <v>57</v>
      </c>
      <c r="D10" t="s">
        <v>58</v>
      </c>
      <c r="E10" t="s">
        <v>34</v>
      </c>
      <c r="F10">
        <v>5</v>
      </c>
      <c r="G10">
        <v>2500</v>
      </c>
      <c r="H10" s="1">
        <v>45756</v>
      </c>
      <c r="I10" t="s">
        <v>23</v>
      </c>
      <c r="J10" t="s">
        <v>19</v>
      </c>
      <c r="K10">
        <v>1600</v>
      </c>
      <c r="L10">
        <v>12500</v>
      </c>
      <c r="M10">
        <v>4500</v>
      </c>
    </row>
    <row r="11" spans="1:15" x14ac:dyDescent="0.25">
      <c r="A11" t="s">
        <v>59</v>
      </c>
      <c r="B11" t="s">
        <v>60</v>
      </c>
      <c r="C11" t="s">
        <v>61</v>
      </c>
      <c r="D11" t="s">
        <v>62</v>
      </c>
      <c r="E11" t="s">
        <v>34</v>
      </c>
      <c r="F11">
        <v>1</v>
      </c>
      <c r="G11">
        <v>2200</v>
      </c>
      <c r="H11" s="1">
        <v>45777</v>
      </c>
      <c r="I11" t="s">
        <v>63</v>
      </c>
      <c r="J11" t="s">
        <v>39</v>
      </c>
      <c r="K11">
        <v>1400</v>
      </c>
      <c r="L11">
        <v>2200</v>
      </c>
      <c r="M11">
        <v>800</v>
      </c>
      <c r="O11">
        <f>COUNTA(A2:A501)</f>
        <v>500</v>
      </c>
    </row>
    <row r="12" spans="1:15" x14ac:dyDescent="0.25">
      <c r="A12" t="s">
        <v>64</v>
      </c>
      <c r="B12" t="s">
        <v>65</v>
      </c>
      <c r="C12" t="s">
        <v>66</v>
      </c>
      <c r="D12" t="s">
        <v>67</v>
      </c>
      <c r="E12" t="s">
        <v>53</v>
      </c>
      <c r="F12">
        <v>3</v>
      </c>
      <c r="G12">
        <v>2800</v>
      </c>
      <c r="H12" s="1">
        <v>45741</v>
      </c>
      <c r="I12" t="s">
        <v>38</v>
      </c>
      <c r="J12" t="s">
        <v>19</v>
      </c>
      <c r="K12">
        <v>1800</v>
      </c>
      <c r="L12">
        <v>8400</v>
      </c>
      <c r="M12">
        <v>3000</v>
      </c>
    </row>
    <row r="13" spans="1:15" x14ac:dyDescent="0.25">
      <c r="A13" t="s">
        <v>68</v>
      </c>
      <c r="B13" t="s">
        <v>69</v>
      </c>
      <c r="C13" t="s">
        <v>70</v>
      </c>
      <c r="D13" t="s">
        <v>37</v>
      </c>
      <c r="E13" t="s">
        <v>34</v>
      </c>
      <c r="F13">
        <v>1</v>
      </c>
      <c r="G13">
        <v>3000</v>
      </c>
      <c r="H13" s="1">
        <v>45969</v>
      </c>
      <c r="I13" t="s">
        <v>18</v>
      </c>
      <c r="J13" t="s">
        <v>19</v>
      </c>
      <c r="K13">
        <v>1900</v>
      </c>
      <c r="L13">
        <v>3000</v>
      </c>
      <c r="M13">
        <v>1100</v>
      </c>
      <c r="O13">
        <f>O7/500</f>
        <v>16977.400000000001</v>
      </c>
    </row>
    <row r="14" spans="1:15" x14ac:dyDescent="0.25">
      <c r="A14" t="s">
        <v>71</v>
      </c>
      <c r="B14" t="s">
        <v>72</v>
      </c>
      <c r="C14" t="s">
        <v>15</v>
      </c>
      <c r="D14" t="s">
        <v>67</v>
      </c>
      <c r="E14" t="s">
        <v>53</v>
      </c>
      <c r="F14">
        <v>4</v>
      </c>
      <c r="G14">
        <v>2800</v>
      </c>
      <c r="H14" s="1">
        <v>45796</v>
      </c>
      <c r="I14" t="s">
        <v>18</v>
      </c>
      <c r="J14" t="s">
        <v>39</v>
      </c>
      <c r="K14">
        <v>1800</v>
      </c>
      <c r="L14">
        <v>11200</v>
      </c>
      <c r="M14">
        <v>4000</v>
      </c>
    </row>
    <row r="15" spans="1:15" x14ac:dyDescent="0.25">
      <c r="A15" t="s">
        <v>73</v>
      </c>
      <c r="B15" t="s">
        <v>74</v>
      </c>
      <c r="C15" t="s">
        <v>51</v>
      </c>
      <c r="D15" t="s">
        <v>75</v>
      </c>
      <c r="E15" t="s">
        <v>17</v>
      </c>
      <c r="F15">
        <v>2</v>
      </c>
      <c r="G15">
        <v>22000</v>
      </c>
      <c r="H15" s="1">
        <v>45674</v>
      </c>
      <c r="I15" t="s">
        <v>63</v>
      </c>
      <c r="J15" t="s">
        <v>39</v>
      </c>
      <c r="K15">
        <v>17000</v>
      </c>
      <c r="L15">
        <v>44000</v>
      </c>
      <c r="M15">
        <v>10000</v>
      </c>
    </row>
    <row r="16" spans="1:15" x14ac:dyDescent="0.25">
      <c r="A16" t="s">
        <v>76</v>
      </c>
      <c r="B16" t="s">
        <v>74</v>
      </c>
      <c r="C16" t="s">
        <v>51</v>
      </c>
      <c r="D16" t="s">
        <v>28</v>
      </c>
      <c r="E16" t="s">
        <v>17</v>
      </c>
      <c r="F16">
        <v>2</v>
      </c>
      <c r="G16">
        <v>2500</v>
      </c>
      <c r="H16" s="1">
        <v>45948</v>
      </c>
      <c r="I16" t="s">
        <v>18</v>
      </c>
      <c r="J16" t="s">
        <v>45</v>
      </c>
      <c r="K16">
        <v>1500</v>
      </c>
      <c r="L16">
        <v>5000</v>
      </c>
      <c r="M16">
        <v>2000</v>
      </c>
      <c r="O16">
        <f>O9/O7*100</f>
        <v>28.310577591386192</v>
      </c>
    </row>
    <row r="17" spans="1:13" x14ac:dyDescent="0.25">
      <c r="A17" t="s">
        <v>77</v>
      </c>
      <c r="B17" t="s">
        <v>47</v>
      </c>
      <c r="C17" t="s">
        <v>48</v>
      </c>
      <c r="D17" t="s">
        <v>78</v>
      </c>
      <c r="E17" t="s">
        <v>53</v>
      </c>
      <c r="F17">
        <v>4</v>
      </c>
      <c r="G17">
        <v>4500</v>
      </c>
      <c r="H17" s="1">
        <v>45731</v>
      </c>
      <c r="I17" t="s">
        <v>79</v>
      </c>
      <c r="J17" t="s">
        <v>19</v>
      </c>
      <c r="K17">
        <v>2900</v>
      </c>
      <c r="L17">
        <v>18000</v>
      </c>
      <c r="M17">
        <v>6400</v>
      </c>
    </row>
    <row r="18" spans="1:13" x14ac:dyDescent="0.25">
      <c r="A18" t="s">
        <v>80</v>
      </c>
      <c r="B18" t="s">
        <v>81</v>
      </c>
      <c r="C18" t="s">
        <v>27</v>
      </c>
      <c r="D18" t="s">
        <v>52</v>
      </c>
      <c r="E18" t="s">
        <v>53</v>
      </c>
      <c r="F18">
        <v>5</v>
      </c>
      <c r="G18">
        <v>700</v>
      </c>
      <c r="H18" s="1">
        <v>45792</v>
      </c>
      <c r="I18" t="s">
        <v>63</v>
      </c>
      <c r="J18" t="s">
        <v>29</v>
      </c>
      <c r="K18">
        <v>350</v>
      </c>
      <c r="L18">
        <v>3500</v>
      </c>
      <c r="M18">
        <v>1750</v>
      </c>
    </row>
    <row r="19" spans="1:13" x14ac:dyDescent="0.25">
      <c r="A19" t="s">
        <v>82</v>
      </c>
      <c r="B19" t="s">
        <v>83</v>
      </c>
      <c r="C19" t="s">
        <v>84</v>
      </c>
      <c r="D19" t="s">
        <v>78</v>
      </c>
      <c r="E19" t="s">
        <v>53</v>
      </c>
      <c r="F19">
        <v>3</v>
      </c>
      <c r="G19">
        <v>4500</v>
      </c>
      <c r="H19" s="1">
        <v>45770</v>
      </c>
      <c r="I19" t="s">
        <v>35</v>
      </c>
      <c r="J19" t="s">
        <v>24</v>
      </c>
      <c r="K19">
        <v>2900</v>
      </c>
      <c r="L19">
        <v>13500</v>
      </c>
      <c r="M19">
        <v>4800</v>
      </c>
    </row>
    <row r="20" spans="1:13" x14ac:dyDescent="0.25">
      <c r="A20" t="s">
        <v>85</v>
      </c>
      <c r="B20" t="s">
        <v>86</v>
      </c>
      <c r="C20" t="s">
        <v>51</v>
      </c>
      <c r="D20" t="s">
        <v>75</v>
      </c>
      <c r="E20" t="s">
        <v>17</v>
      </c>
      <c r="F20">
        <v>1</v>
      </c>
      <c r="G20">
        <v>22000</v>
      </c>
      <c r="H20" s="1">
        <v>45736</v>
      </c>
      <c r="I20" t="s">
        <v>63</v>
      </c>
      <c r="J20" t="s">
        <v>29</v>
      </c>
      <c r="K20">
        <v>17000</v>
      </c>
      <c r="L20">
        <v>22000</v>
      </c>
      <c r="M20">
        <v>5000</v>
      </c>
    </row>
    <row r="21" spans="1:13" x14ac:dyDescent="0.25">
      <c r="A21" t="s">
        <v>87</v>
      </c>
      <c r="B21" t="s">
        <v>88</v>
      </c>
      <c r="C21" t="s">
        <v>89</v>
      </c>
      <c r="D21" t="s">
        <v>28</v>
      </c>
      <c r="E21" t="s">
        <v>17</v>
      </c>
      <c r="F21">
        <v>4</v>
      </c>
      <c r="G21">
        <v>2500</v>
      </c>
      <c r="H21" s="1">
        <v>45853</v>
      </c>
      <c r="I21" t="s">
        <v>54</v>
      </c>
      <c r="J21" t="s">
        <v>29</v>
      </c>
      <c r="K21">
        <v>1500</v>
      </c>
      <c r="L21">
        <v>10000</v>
      </c>
      <c r="M21">
        <v>4000</v>
      </c>
    </row>
    <row r="22" spans="1:13" x14ac:dyDescent="0.25">
      <c r="A22" t="s">
        <v>90</v>
      </c>
      <c r="B22" t="s">
        <v>91</v>
      </c>
      <c r="C22" t="s">
        <v>57</v>
      </c>
      <c r="D22" t="s">
        <v>92</v>
      </c>
      <c r="E22" t="s">
        <v>17</v>
      </c>
      <c r="F22">
        <v>1</v>
      </c>
      <c r="G22">
        <v>55000</v>
      </c>
      <c r="H22" s="1">
        <v>46007</v>
      </c>
      <c r="I22" t="s">
        <v>54</v>
      </c>
      <c r="J22" t="s">
        <v>39</v>
      </c>
      <c r="K22">
        <v>42000</v>
      </c>
      <c r="L22">
        <v>55000</v>
      </c>
      <c r="M22">
        <v>13000</v>
      </c>
    </row>
    <row r="23" spans="1:13" x14ac:dyDescent="0.25">
      <c r="A23" t="s">
        <v>93</v>
      </c>
      <c r="B23" t="s">
        <v>86</v>
      </c>
      <c r="C23" t="s">
        <v>51</v>
      </c>
      <c r="D23" t="s">
        <v>16</v>
      </c>
      <c r="E23" t="s">
        <v>17</v>
      </c>
      <c r="F23">
        <v>3</v>
      </c>
      <c r="G23">
        <v>5000</v>
      </c>
      <c r="H23" s="1">
        <v>45880</v>
      </c>
      <c r="I23" t="s">
        <v>35</v>
      </c>
      <c r="J23" t="s">
        <v>24</v>
      </c>
      <c r="K23">
        <v>3200</v>
      </c>
      <c r="L23">
        <v>15000</v>
      </c>
      <c r="M23">
        <v>5400</v>
      </c>
    </row>
    <row r="24" spans="1:13" x14ac:dyDescent="0.25">
      <c r="A24" t="s">
        <v>94</v>
      </c>
      <c r="B24" t="s">
        <v>26</v>
      </c>
      <c r="C24" t="s">
        <v>27</v>
      </c>
      <c r="D24" t="s">
        <v>37</v>
      </c>
      <c r="E24" t="s">
        <v>34</v>
      </c>
      <c r="F24">
        <v>5</v>
      </c>
      <c r="G24">
        <v>3000</v>
      </c>
      <c r="H24" s="1">
        <v>45749</v>
      </c>
      <c r="I24" t="s">
        <v>44</v>
      </c>
      <c r="J24" t="s">
        <v>39</v>
      </c>
      <c r="K24">
        <v>1900</v>
      </c>
      <c r="L24">
        <v>15000</v>
      </c>
      <c r="M24">
        <v>5500</v>
      </c>
    </row>
    <row r="25" spans="1:13" x14ac:dyDescent="0.25">
      <c r="A25" t="s">
        <v>95</v>
      </c>
      <c r="B25" t="s">
        <v>96</v>
      </c>
      <c r="C25" t="s">
        <v>89</v>
      </c>
      <c r="D25" t="s">
        <v>97</v>
      </c>
      <c r="E25" t="s">
        <v>53</v>
      </c>
      <c r="F25">
        <v>5</v>
      </c>
      <c r="G25">
        <v>1000</v>
      </c>
      <c r="H25" s="1">
        <v>45759</v>
      </c>
      <c r="I25" t="s">
        <v>38</v>
      </c>
      <c r="J25" t="s">
        <v>19</v>
      </c>
      <c r="K25">
        <v>600</v>
      </c>
      <c r="L25">
        <v>5000</v>
      </c>
      <c r="M25">
        <v>2000</v>
      </c>
    </row>
    <row r="26" spans="1:13" x14ac:dyDescent="0.25">
      <c r="A26" t="s">
        <v>98</v>
      </c>
      <c r="B26" t="s">
        <v>99</v>
      </c>
      <c r="C26" t="s">
        <v>15</v>
      </c>
      <c r="D26" t="s">
        <v>52</v>
      </c>
      <c r="E26" t="s">
        <v>53</v>
      </c>
      <c r="F26">
        <v>5</v>
      </c>
      <c r="G26">
        <v>700</v>
      </c>
      <c r="H26" s="1">
        <v>45658</v>
      </c>
      <c r="I26" t="s">
        <v>35</v>
      </c>
      <c r="J26" t="s">
        <v>24</v>
      </c>
      <c r="K26">
        <v>350</v>
      </c>
      <c r="L26">
        <v>3500</v>
      </c>
      <c r="M26">
        <v>1750</v>
      </c>
    </row>
    <row r="27" spans="1:13" x14ac:dyDescent="0.25">
      <c r="A27" t="s">
        <v>100</v>
      </c>
      <c r="B27" t="s">
        <v>101</v>
      </c>
      <c r="C27" t="s">
        <v>102</v>
      </c>
      <c r="D27" t="s">
        <v>16</v>
      </c>
      <c r="E27" t="s">
        <v>17</v>
      </c>
      <c r="F27">
        <v>3</v>
      </c>
      <c r="G27">
        <v>5000</v>
      </c>
      <c r="H27" s="1">
        <v>45815</v>
      </c>
      <c r="I27" t="s">
        <v>23</v>
      </c>
      <c r="J27" t="s">
        <v>19</v>
      </c>
      <c r="K27">
        <v>3200</v>
      </c>
      <c r="L27">
        <v>15000</v>
      </c>
      <c r="M27">
        <v>5400</v>
      </c>
    </row>
    <row r="28" spans="1:13" x14ac:dyDescent="0.25">
      <c r="A28" t="s">
        <v>103</v>
      </c>
      <c r="B28" t="s">
        <v>56</v>
      </c>
      <c r="C28" t="s">
        <v>57</v>
      </c>
      <c r="D28" t="s">
        <v>28</v>
      </c>
      <c r="E28" t="s">
        <v>17</v>
      </c>
      <c r="F28">
        <v>1</v>
      </c>
      <c r="G28">
        <v>2500</v>
      </c>
      <c r="H28" s="1">
        <v>45906</v>
      </c>
      <c r="I28" t="s">
        <v>79</v>
      </c>
      <c r="J28" t="s">
        <v>19</v>
      </c>
      <c r="K28">
        <v>1500</v>
      </c>
      <c r="L28">
        <v>2500</v>
      </c>
      <c r="M28">
        <v>1000</v>
      </c>
    </row>
    <row r="29" spans="1:13" x14ac:dyDescent="0.25">
      <c r="A29" t="s">
        <v>104</v>
      </c>
      <c r="B29" t="s">
        <v>47</v>
      </c>
      <c r="C29" t="s">
        <v>48</v>
      </c>
      <c r="D29" t="s">
        <v>105</v>
      </c>
      <c r="E29" t="s">
        <v>53</v>
      </c>
      <c r="F29">
        <v>5</v>
      </c>
      <c r="G29">
        <v>1200</v>
      </c>
      <c r="H29" s="1">
        <v>45742</v>
      </c>
      <c r="I29" t="s">
        <v>63</v>
      </c>
      <c r="J29" t="s">
        <v>19</v>
      </c>
      <c r="K29">
        <v>700</v>
      </c>
      <c r="L29">
        <v>6000</v>
      </c>
      <c r="M29">
        <v>2500</v>
      </c>
    </row>
    <row r="30" spans="1:13" x14ac:dyDescent="0.25">
      <c r="A30" t="s">
        <v>106</v>
      </c>
      <c r="B30" t="s">
        <v>107</v>
      </c>
      <c r="C30" t="s">
        <v>15</v>
      </c>
      <c r="D30" t="s">
        <v>52</v>
      </c>
      <c r="E30" t="s">
        <v>53</v>
      </c>
      <c r="F30">
        <v>2</v>
      </c>
      <c r="G30">
        <v>700</v>
      </c>
      <c r="H30" s="1">
        <v>45817</v>
      </c>
      <c r="I30" t="s">
        <v>38</v>
      </c>
      <c r="J30" t="s">
        <v>45</v>
      </c>
      <c r="K30">
        <v>350</v>
      </c>
      <c r="L30">
        <v>1400</v>
      </c>
      <c r="M30">
        <v>700</v>
      </c>
    </row>
    <row r="31" spans="1:13" x14ac:dyDescent="0.25">
      <c r="A31" t="s">
        <v>108</v>
      </c>
      <c r="B31" t="s">
        <v>109</v>
      </c>
      <c r="C31" t="s">
        <v>70</v>
      </c>
      <c r="D31" t="s">
        <v>97</v>
      </c>
      <c r="E31" t="s">
        <v>53</v>
      </c>
      <c r="F31">
        <v>4</v>
      </c>
      <c r="G31">
        <v>1000</v>
      </c>
      <c r="H31" s="1">
        <v>45719</v>
      </c>
      <c r="I31" t="s">
        <v>18</v>
      </c>
      <c r="J31" t="s">
        <v>24</v>
      </c>
      <c r="K31">
        <v>600</v>
      </c>
      <c r="L31">
        <v>4000</v>
      </c>
      <c r="M31">
        <v>1600</v>
      </c>
    </row>
    <row r="32" spans="1:13" x14ac:dyDescent="0.25">
      <c r="A32" t="s">
        <v>110</v>
      </c>
      <c r="B32" t="s">
        <v>111</v>
      </c>
      <c r="C32" t="s">
        <v>102</v>
      </c>
      <c r="D32" t="s">
        <v>112</v>
      </c>
      <c r="E32" t="s">
        <v>34</v>
      </c>
      <c r="F32">
        <v>1</v>
      </c>
      <c r="G32">
        <v>1500</v>
      </c>
      <c r="H32" s="1">
        <v>45959</v>
      </c>
      <c r="I32" t="s">
        <v>18</v>
      </c>
      <c r="J32" t="s">
        <v>29</v>
      </c>
      <c r="K32">
        <v>900</v>
      </c>
      <c r="L32">
        <v>1500</v>
      </c>
      <c r="M32">
        <v>600</v>
      </c>
    </row>
    <row r="33" spans="1:13" x14ac:dyDescent="0.25">
      <c r="A33" t="s">
        <v>113</v>
      </c>
      <c r="B33" t="s">
        <v>114</v>
      </c>
      <c r="C33" t="s">
        <v>84</v>
      </c>
      <c r="D33" t="s">
        <v>115</v>
      </c>
      <c r="E33" t="s">
        <v>34</v>
      </c>
      <c r="F33">
        <v>1</v>
      </c>
      <c r="G33">
        <v>1800</v>
      </c>
      <c r="H33" s="1">
        <v>45694</v>
      </c>
      <c r="I33" t="s">
        <v>18</v>
      </c>
      <c r="J33" t="s">
        <v>24</v>
      </c>
      <c r="K33">
        <v>1100</v>
      </c>
      <c r="L33">
        <v>1800</v>
      </c>
      <c r="M33">
        <v>700</v>
      </c>
    </row>
    <row r="34" spans="1:13" x14ac:dyDescent="0.25">
      <c r="A34" t="s">
        <v>116</v>
      </c>
      <c r="B34" t="s">
        <v>117</v>
      </c>
      <c r="C34" t="s">
        <v>118</v>
      </c>
      <c r="D34" t="s">
        <v>75</v>
      </c>
      <c r="E34" t="s">
        <v>17</v>
      </c>
      <c r="F34">
        <v>3</v>
      </c>
      <c r="G34">
        <v>22000</v>
      </c>
      <c r="H34" s="1">
        <v>45694</v>
      </c>
      <c r="I34" t="s">
        <v>18</v>
      </c>
      <c r="J34" t="s">
        <v>39</v>
      </c>
      <c r="K34">
        <v>17000</v>
      </c>
      <c r="L34">
        <v>66000</v>
      </c>
      <c r="M34">
        <v>15000</v>
      </c>
    </row>
    <row r="35" spans="1:13" x14ac:dyDescent="0.25">
      <c r="A35" t="s">
        <v>119</v>
      </c>
      <c r="B35" t="s">
        <v>120</v>
      </c>
      <c r="C35" t="s">
        <v>121</v>
      </c>
      <c r="D35" t="s">
        <v>105</v>
      </c>
      <c r="E35" t="s">
        <v>53</v>
      </c>
      <c r="F35">
        <v>2</v>
      </c>
      <c r="G35">
        <v>1200</v>
      </c>
      <c r="H35" s="1">
        <v>45934</v>
      </c>
      <c r="I35" t="s">
        <v>35</v>
      </c>
      <c r="J35" t="s">
        <v>19</v>
      </c>
      <c r="K35">
        <v>700</v>
      </c>
      <c r="L35">
        <v>2400</v>
      </c>
      <c r="M35">
        <v>1000</v>
      </c>
    </row>
    <row r="36" spans="1:13" x14ac:dyDescent="0.25">
      <c r="A36" t="s">
        <v>122</v>
      </c>
      <c r="B36" t="s">
        <v>123</v>
      </c>
      <c r="C36" t="s">
        <v>124</v>
      </c>
      <c r="D36" t="s">
        <v>105</v>
      </c>
      <c r="E36" t="s">
        <v>53</v>
      </c>
      <c r="F36">
        <v>4</v>
      </c>
      <c r="G36">
        <v>1200</v>
      </c>
      <c r="H36" s="1">
        <v>45755</v>
      </c>
      <c r="I36" t="s">
        <v>44</v>
      </c>
      <c r="J36" t="s">
        <v>45</v>
      </c>
      <c r="K36">
        <v>700</v>
      </c>
      <c r="L36">
        <v>4800</v>
      </c>
      <c r="M36">
        <v>2000</v>
      </c>
    </row>
    <row r="37" spans="1:13" x14ac:dyDescent="0.25">
      <c r="A37" t="s">
        <v>125</v>
      </c>
      <c r="B37" t="s">
        <v>88</v>
      </c>
      <c r="C37" t="s">
        <v>89</v>
      </c>
      <c r="D37" t="s">
        <v>58</v>
      </c>
      <c r="E37" t="s">
        <v>34</v>
      </c>
      <c r="F37">
        <v>4</v>
      </c>
      <c r="G37">
        <v>2500</v>
      </c>
      <c r="H37" s="1">
        <v>45868</v>
      </c>
      <c r="I37" t="s">
        <v>23</v>
      </c>
      <c r="J37" t="s">
        <v>24</v>
      </c>
      <c r="K37">
        <v>1600</v>
      </c>
      <c r="L37">
        <v>10000</v>
      </c>
      <c r="M37">
        <v>3600</v>
      </c>
    </row>
    <row r="38" spans="1:13" x14ac:dyDescent="0.25">
      <c r="A38" t="s">
        <v>126</v>
      </c>
      <c r="B38" t="s">
        <v>127</v>
      </c>
      <c r="C38" t="s">
        <v>48</v>
      </c>
      <c r="D38" t="s">
        <v>75</v>
      </c>
      <c r="E38" t="s">
        <v>17</v>
      </c>
      <c r="F38">
        <v>4</v>
      </c>
      <c r="G38">
        <v>22000</v>
      </c>
      <c r="H38" s="1">
        <v>45831</v>
      </c>
      <c r="I38" t="s">
        <v>18</v>
      </c>
      <c r="J38" t="s">
        <v>19</v>
      </c>
      <c r="K38">
        <v>17000</v>
      </c>
      <c r="L38">
        <v>88000</v>
      </c>
      <c r="M38">
        <v>20000</v>
      </c>
    </row>
    <row r="39" spans="1:13" x14ac:dyDescent="0.25">
      <c r="A39" t="s">
        <v>128</v>
      </c>
      <c r="B39" t="s">
        <v>83</v>
      </c>
      <c r="C39" t="s">
        <v>84</v>
      </c>
      <c r="D39" t="s">
        <v>33</v>
      </c>
      <c r="E39" t="s">
        <v>34</v>
      </c>
      <c r="F39">
        <v>5</v>
      </c>
      <c r="G39">
        <v>800</v>
      </c>
      <c r="H39" s="1">
        <v>45887</v>
      </c>
      <c r="I39" t="s">
        <v>63</v>
      </c>
      <c r="J39" t="s">
        <v>19</v>
      </c>
      <c r="K39">
        <v>450</v>
      </c>
      <c r="L39">
        <v>4000</v>
      </c>
      <c r="M39">
        <v>1750</v>
      </c>
    </row>
    <row r="40" spans="1:13" x14ac:dyDescent="0.25">
      <c r="A40" t="s">
        <v>129</v>
      </c>
      <c r="B40" t="s">
        <v>130</v>
      </c>
      <c r="C40" t="s">
        <v>89</v>
      </c>
      <c r="D40" t="s">
        <v>37</v>
      </c>
      <c r="E40" t="s">
        <v>34</v>
      </c>
      <c r="F40">
        <v>4</v>
      </c>
      <c r="G40">
        <v>3000</v>
      </c>
      <c r="H40" s="1">
        <v>45785</v>
      </c>
      <c r="I40" t="s">
        <v>35</v>
      </c>
      <c r="J40" t="s">
        <v>29</v>
      </c>
      <c r="K40">
        <v>1900</v>
      </c>
      <c r="L40">
        <v>12000</v>
      </c>
      <c r="M40">
        <v>4400</v>
      </c>
    </row>
    <row r="41" spans="1:13" x14ac:dyDescent="0.25">
      <c r="A41" t="s">
        <v>131</v>
      </c>
      <c r="B41" t="s">
        <v>132</v>
      </c>
      <c r="C41" t="s">
        <v>133</v>
      </c>
      <c r="D41" t="s">
        <v>16</v>
      </c>
      <c r="E41" t="s">
        <v>17</v>
      </c>
      <c r="F41">
        <v>1</v>
      </c>
      <c r="G41">
        <v>5000</v>
      </c>
      <c r="H41" s="1">
        <v>45991</v>
      </c>
      <c r="I41" t="s">
        <v>23</v>
      </c>
      <c r="J41" t="s">
        <v>24</v>
      </c>
      <c r="K41">
        <v>3200</v>
      </c>
      <c r="L41">
        <v>5000</v>
      </c>
      <c r="M41">
        <v>1800</v>
      </c>
    </row>
    <row r="42" spans="1:13" x14ac:dyDescent="0.25">
      <c r="A42" t="s">
        <v>134</v>
      </c>
      <c r="B42" t="s">
        <v>135</v>
      </c>
      <c r="C42" t="s">
        <v>124</v>
      </c>
      <c r="D42" t="s">
        <v>115</v>
      </c>
      <c r="E42" t="s">
        <v>34</v>
      </c>
      <c r="F42">
        <v>2</v>
      </c>
      <c r="G42">
        <v>1800</v>
      </c>
      <c r="H42" s="1">
        <v>45866</v>
      </c>
      <c r="I42" t="s">
        <v>35</v>
      </c>
      <c r="J42" t="s">
        <v>19</v>
      </c>
      <c r="K42">
        <v>1100</v>
      </c>
      <c r="L42">
        <v>3600</v>
      </c>
      <c r="M42">
        <v>1400</v>
      </c>
    </row>
    <row r="43" spans="1:13" x14ac:dyDescent="0.25">
      <c r="A43" t="s">
        <v>136</v>
      </c>
      <c r="B43" t="s">
        <v>137</v>
      </c>
      <c r="C43" t="s">
        <v>57</v>
      </c>
      <c r="D43" t="s">
        <v>78</v>
      </c>
      <c r="E43" t="s">
        <v>53</v>
      </c>
      <c r="F43">
        <v>1</v>
      </c>
      <c r="G43">
        <v>4500</v>
      </c>
      <c r="H43" s="1">
        <v>45742</v>
      </c>
      <c r="I43" t="s">
        <v>23</v>
      </c>
      <c r="J43" t="s">
        <v>45</v>
      </c>
      <c r="K43">
        <v>2900</v>
      </c>
      <c r="L43">
        <v>4500</v>
      </c>
      <c r="M43">
        <v>1600</v>
      </c>
    </row>
    <row r="44" spans="1:13" x14ac:dyDescent="0.25">
      <c r="A44" t="s">
        <v>138</v>
      </c>
      <c r="B44" t="s">
        <v>21</v>
      </c>
      <c r="C44" t="s">
        <v>22</v>
      </c>
      <c r="D44" t="s">
        <v>37</v>
      </c>
      <c r="E44" t="s">
        <v>34</v>
      </c>
      <c r="F44">
        <v>4</v>
      </c>
      <c r="G44">
        <v>3000</v>
      </c>
      <c r="H44" s="1">
        <v>45804</v>
      </c>
      <c r="I44" t="s">
        <v>35</v>
      </c>
      <c r="J44" t="s">
        <v>19</v>
      </c>
      <c r="K44">
        <v>1900</v>
      </c>
      <c r="L44">
        <v>12000</v>
      </c>
      <c r="M44">
        <v>4400</v>
      </c>
    </row>
    <row r="45" spans="1:13" x14ac:dyDescent="0.25">
      <c r="A45" t="s">
        <v>139</v>
      </c>
      <c r="B45" t="s">
        <v>140</v>
      </c>
      <c r="C45" t="s">
        <v>66</v>
      </c>
      <c r="D45" t="s">
        <v>33</v>
      </c>
      <c r="E45" t="s">
        <v>34</v>
      </c>
      <c r="F45">
        <v>3</v>
      </c>
      <c r="G45">
        <v>800</v>
      </c>
      <c r="H45" s="1">
        <v>45769</v>
      </c>
      <c r="I45" t="s">
        <v>23</v>
      </c>
      <c r="J45" t="s">
        <v>39</v>
      </c>
      <c r="K45">
        <v>450</v>
      </c>
      <c r="L45">
        <v>2400</v>
      </c>
      <c r="M45">
        <v>1050</v>
      </c>
    </row>
    <row r="46" spans="1:13" x14ac:dyDescent="0.25">
      <c r="A46" t="s">
        <v>141</v>
      </c>
      <c r="B46" t="s">
        <v>142</v>
      </c>
      <c r="C46" t="s">
        <v>15</v>
      </c>
      <c r="D46" t="s">
        <v>75</v>
      </c>
      <c r="E46" t="s">
        <v>17</v>
      </c>
      <c r="F46">
        <v>1</v>
      </c>
      <c r="G46">
        <v>22000</v>
      </c>
      <c r="H46" s="1">
        <v>45957</v>
      </c>
      <c r="I46" t="s">
        <v>79</v>
      </c>
      <c r="J46" t="s">
        <v>24</v>
      </c>
      <c r="K46">
        <v>17000</v>
      </c>
      <c r="L46">
        <v>22000</v>
      </c>
      <c r="M46">
        <v>5000</v>
      </c>
    </row>
    <row r="47" spans="1:13" x14ac:dyDescent="0.25">
      <c r="A47" t="s">
        <v>143</v>
      </c>
      <c r="B47" t="s">
        <v>56</v>
      </c>
      <c r="C47" t="s">
        <v>57</v>
      </c>
      <c r="D47" t="s">
        <v>97</v>
      </c>
      <c r="E47" t="s">
        <v>53</v>
      </c>
      <c r="F47">
        <v>1</v>
      </c>
      <c r="G47">
        <v>1000</v>
      </c>
      <c r="H47" s="1">
        <v>45753</v>
      </c>
      <c r="I47" t="s">
        <v>44</v>
      </c>
      <c r="J47" t="s">
        <v>19</v>
      </c>
      <c r="K47">
        <v>600</v>
      </c>
      <c r="L47">
        <v>1000</v>
      </c>
      <c r="M47">
        <v>400</v>
      </c>
    </row>
    <row r="48" spans="1:13" x14ac:dyDescent="0.25">
      <c r="A48" t="s">
        <v>144</v>
      </c>
      <c r="B48" t="s">
        <v>109</v>
      </c>
      <c r="C48" t="s">
        <v>70</v>
      </c>
      <c r="D48" t="s">
        <v>78</v>
      </c>
      <c r="E48" t="s">
        <v>53</v>
      </c>
      <c r="F48">
        <v>1</v>
      </c>
      <c r="G48">
        <v>4500</v>
      </c>
      <c r="H48" s="1">
        <v>45949</v>
      </c>
      <c r="I48" t="s">
        <v>23</v>
      </c>
      <c r="J48" t="s">
        <v>29</v>
      </c>
      <c r="K48">
        <v>2900</v>
      </c>
      <c r="L48">
        <v>4500</v>
      </c>
      <c r="M48">
        <v>1600</v>
      </c>
    </row>
    <row r="49" spans="1:13" x14ac:dyDescent="0.25">
      <c r="A49" t="s">
        <v>145</v>
      </c>
      <c r="B49" t="s">
        <v>81</v>
      </c>
      <c r="C49" t="s">
        <v>27</v>
      </c>
      <c r="D49" t="s">
        <v>28</v>
      </c>
      <c r="E49" t="s">
        <v>17</v>
      </c>
      <c r="F49">
        <v>4</v>
      </c>
      <c r="G49">
        <v>2500</v>
      </c>
      <c r="H49" s="1">
        <v>45994</v>
      </c>
      <c r="I49" t="s">
        <v>38</v>
      </c>
      <c r="J49" t="s">
        <v>39</v>
      </c>
      <c r="K49">
        <v>1500</v>
      </c>
      <c r="L49">
        <v>10000</v>
      </c>
      <c r="M49">
        <v>4000</v>
      </c>
    </row>
    <row r="50" spans="1:13" x14ac:dyDescent="0.25">
      <c r="A50" t="s">
        <v>146</v>
      </c>
      <c r="B50" t="s">
        <v>47</v>
      </c>
      <c r="C50" t="s">
        <v>48</v>
      </c>
      <c r="D50" t="s">
        <v>33</v>
      </c>
      <c r="E50" t="s">
        <v>34</v>
      </c>
      <c r="F50">
        <v>3</v>
      </c>
      <c r="G50">
        <v>800</v>
      </c>
      <c r="H50" s="1">
        <v>45780</v>
      </c>
      <c r="I50" t="s">
        <v>63</v>
      </c>
      <c r="J50" t="s">
        <v>19</v>
      </c>
      <c r="K50">
        <v>450</v>
      </c>
      <c r="L50">
        <v>2400</v>
      </c>
      <c r="M50">
        <v>1050</v>
      </c>
    </row>
    <row r="51" spans="1:13" x14ac:dyDescent="0.25">
      <c r="A51" t="s">
        <v>147</v>
      </c>
      <c r="B51" t="s">
        <v>148</v>
      </c>
      <c r="C51" t="s">
        <v>133</v>
      </c>
      <c r="D51" t="s">
        <v>62</v>
      </c>
      <c r="E51" t="s">
        <v>34</v>
      </c>
      <c r="F51">
        <v>4</v>
      </c>
      <c r="G51">
        <v>2200</v>
      </c>
      <c r="H51" s="1">
        <v>45819</v>
      </c>
      <c r="I51" t="s">
        <v>23</v>
      </c>
      <c r="J51" t="s">
        <v>45</v>
      </c>
      <c r="K51">
        <v>1400</v>
      </c>
      <c r="L51">
        <v>8800</v>
      </c>
      <c r="M51">
        <v>3200</v>
      </c>
    </row>
    <row r="52" spans="1:13" x14ac:dyDescent="0.25">
      <c r="A52" t="s">
        <v>149</v>
      </c>
      <c r="B52" t="s">
        <v>150</v>
      </c>
      <c r="C52" t="s">
        <v>66</v>
      </c>
      <c r="D52" t="s">
        <v>16</v>
      </c>
      <c r="E52" t="s">
        <v>17</v>
      </c>
      <c r="F52">
        <v>1</v>
      </c>
      <c r="G52">
        <v>5000</v>
      </c>
      <c r="H52" s="1">
        <v>45933</v>
      </c>
      <c r="I52" t="s">
        <v>54</v>
      </c>
      <c r="J52" t="s">
        <v>19</v>
      </c>
      <c r="K52">
        <v>3200</v>
      </c>
      <c r="L52">
        <v>5000</v>
      </c>
      <c r="M52">
        <v>1800</v>
      </c>
    </row>
    <row r="53" spans="1:13" x14ac:dyDescent="0.25">
      <c r="A53" t="s">
        <v>151</v>
      </c>
      <c r="B53" t="s">
        <v>65</v>
      </c>
      <c r="C53" t="s">
        <v>66</v>
      </c>
      <c r="D53" t="s">
        <v>58</v>
      </c>
      <c r="E53" t="s">
        <v>34</v>
      </c>
      <c r="F53">
        <v>1</v>
      </c>
      <c r="G53">
        <v>2500</v>
      </c>
      <c r="H53" s="1">
        <v>45783</v>
      </c>
      <c r="I53" t="s">
        <v>54</v>
      </c>
      <c r="J53" t="s">
        <v>19</v>
      </c>
      <c r="K53">
        <v>1600</v>
      </c>
      <c r="L53">
        <v>2500</v>
      </c>
      <c r="M53">
        <v>900</v>
      </c>
    </row>
    <row r="54" spans="1:13" x14ac:dyDescent="0.25">
      <c r="A54" t="s">
        <v>152</v>
      </c>
      <c r="B54" t="s">
        <v>153</v>
      </c>
      <c r="C54" t="s">
        <v>57</v>
      </c>
      <c r="D54" t="s">
        <v>67</v>
      </c>
      <c r="E54" t="s">
        <v>53</v>
      </c>
      <c r="F54">
        <v>5</v>
      </c>
      <c r="G54">
        <v>2800</v>
      </c>
      <c r="H54" s="1">
        <v>46018</v>
      </c>
      <c r="I54" t="s">
        <v>23</v>
      </c>
      <c r="J54" t="s">
        <v>29</v>
      </c>
      <c r="K54">
        <v>1800</v>
      </c>
      <c r="L54">
        <v>14000</v>
      </c>
      <c r="M54">
        <v>5000</v>
      </c>
    </row>
    <row r="55" spans="1:13" x14ac:dyDescent="0.25">
      <c r="A55" t="s">
        <v>154</v>
      </c>
      <c r="B55" t="s">
        <v>47</v>
      </c>
      <c r="C55" t="s">
        <v>48</v>
      </c>
      <c r="D55" t="s">
        <v>62</v>
      </c>
      <c r="E55" t="s">
        <v>34</v>
      </c>
      <c r="F55">
        <v>1</v>
      </c>
      <c r="G55">
        <v>2200</v>
      </c>
      <c r="H55" s="1">
        <v>45726</v>
      </c>
      <c r="I55" t="s">
        <v>44</v>
      </c>
      <c r="J55" t="s">
        <v>24</v>
      </c>
      <c r="K55">
        <v>1400</v>
      </c>
      <c r="L55">
        <v>2200</v>
      </c>
      <c r="M55">
        <v>800</v>
      </c>
    </row>
    <row r="56" spans="1:13" x14ac:dyDescent="0.25">
      <c r="A56" t="s">
        <v>155</v>
      </c>
      <c r="B56" t="s">
        <v>156</v>
      </c>
      <c r="C56" t="s">
        <v>157</v>
      </c>
      <c r="D56" t="s">
        <v>52</v>
      </c>
      <c r="E56" t="s">
        <v>53</v>
      </c>
      <c r="F56">
        <v>2</v>
      </c>
      <c r="G56">
        <v>700</v>
      </c>
      <c r="H56" s="1">
        <v>45797</v>
      </c>
      <c r="I56" t="s">
        <v>18</v>
      </c>
      <c r="J56" t="s">
        <v>39</v>
      </c>
      <c r="K56">
        <v>350</v>
      </c>
      <c r="L56">
        <v>1400</v>
      </c>
      <c r="M56">
        <v>700</v>
      </c>
    </row>
    <row r="57" spans="1:13" x14ac:dyDescent="0.25">
      <c r="A57" t="s">
        <v>158</v>
      </c>
      <c r="B57" t="s">
        <v>159</v>
      </c>
      <c r="C57" t="s">
        <v>61</v>
      </c>
      <c r="D57" t="s">
        <v>33</v>
      </c>
      <c r="E57" t="s">
        <v>34</v>
      </c>
      <c r="F57">
        <v>3</v>
      </c>
      <c r="G57">
        <v>800</v>
      </c>
      <c r="H57" s="1">
        <v>45916</v>
      </c>
      <c r="I57" t="s">
        <v>54</v>
      </c>
      <c r="J57" t="s">
        <v>24</v>
      </c>
      <c r="K57">
        <v>450</v>
      </c>
      <c r="L57">
        <v>2400</v>
      </c>
      <c r="M57">
        <v>1050</v>
      </c>
    </row>
    <row r="58" spans="1:13" x14ac:dyDescent="0.25">
      <c r="A58" t="s">
        <v>160</v>
      </c>
      <c r="B58" t="s">
        <v>161</v>
      </c>
      <c r="C58" t="s">
        <v>118</v>
      </c>
      <c r="D58" t="s">
        <v>28</v>
      </c>
      <c r="E58" t="s">
        <v>17</v>
      </c>
      <c r="F58">
        <v>4</v>
      </c>
      <c r="G58">
        <v>2500</v>
      </c>
      <c r="H58" s="1">
        <v>45799</v>
      </c>
      <c r="I58" t="s">
        <v>23</v>
      </c>
      <c r="J58" t="s">
        <v>39</v>
      </c>
      <c r="K58">
        <v>1500</v>
      </c>
      <c r="L58">
        <v>10000</v>
      </c>
      <c r="M58">
        <v>4000</v>
      </c>
    </row>
    <row r="59" spans="1:13" x14ac:dyDescent="0.25">
      <c r="A59" t="s">
        <v>162</v>
      </c>
      <c r="B59" t="s">
        <v>163</v>
      </c>
      <c r="C59" t="s">
        <v>121</v>
      </c>
      <c r="D59" t="s">
        <v>43</v>
      </c>
      <c r="E59" t="s">
        <v>17</v>
      </c>
      <c r="F59">
        <v>3</v>
      </c>
      <c r="G59">
        <v>1800</v>
      </c>
      <c r="H59" s="1">
        <v>45740</v>
      </c>
      <c r="I59" t="s">
        <v>63</v>
      </c>
      <c r="J59" t="s">
        <v>29</v>
      </c>
      <c r="K59">
        <v>1100</v>
      </c>
      <c r="L59">
        <v>5400</v>
      </c>
      <c r="M59">
        <v>2100</v>
      </c>
    </row>
    <row r="60" spans="1:13" x14ac:dyDescent="0.25">
      <c r="A60" t="s">
        <v>164</v>
      </c>
      <c r="B60" t="s">
        <v>165</v>
      </c>
      <c r="C60" t="s">
        <v>133</v>
      </c>
      <c r="D60" t="s">
        <v>92</v>
      </c>
      <c r="E60" t="s">
        <v>17</v>
      </c>
      <c r="F60">
        <v>1</v>
      </c>
      <c r="G60">
        <v>55000</v>
      </c>
      <c r="H60" s="1">
        <v>45696</v>
      </c>
      <c r="I60" t="s">
        <v>23</v>
      </c>
      <c r="J60" t="s">
        <v>39</v>
      </c>
      <c r="K60">
        <v>42000</v>
      </c>
      <c r="L60">
        <v>55000</v>
      </c>
      <c r="M60">
        <v>13000</v>
      </c>
    </row>
    <row r="61" spans="1:13" x14ac:dyDescent="0.25">
      <c r="A61" t="s">
        <v>166</v>
      </c>
      <c r="B61" t="s">
        <v>167</v>
      </c>
      <c r="C61" t="s">
        <v>157</v>
      </c>
      <c r="D61" t="s">
        <v>52</v>
      </c>
      <c r="E61" t="s">
        <v>53</v>
      </c>
      <c r="F61">
        <v>2</v>
      </c>
      <c r="G61">
        <v>700</v>
      </c>
      <c r="H61" s="1">
        <v>45878</v>
      </c>
      <c r="I61" t="s">
        <v>23</v>
      </c>
      <c r="J61" t="s">
        <v>39</v>
      </c>
      <c r="K61">
        <v>350</v>
      </c>
      <c r="L61">
        <v>1400</v>
      </c>
      <c r="M61">
        <v>700</v>
      </c>
    </row>
    <row r="62" spans="1:13" x14ac:dyDescent="0.25">
      <c r="A62" t="s">
        <v>168</v>
      </c>
      <c r="B62" t="s">
        <v>169</v>
      </c>
      <c r="C62" t="s">
        <v>121</v>
      </c>
      <c r="D62" t="s">
        <v>58</v>
      </c>
      <c r="E62" t="s">
        <v>34</v>
      </c>
      <c r="F62">
        <v>1</v>
      </c>
      <c r="G62">
        <v>2500</v>
      </c>
      <c r="H62" s="1">
        <v>45841</v>
      </c>
      <c r="I62" t="s">
        <v>18</v>
      </c>
      <c r="J62" t="s">
        <v>24</v>
      </c>
      <c r="K62">
        <v>1600</v>
      </c>
      <c r="L62">
        <v>2500</v>
      </c>
      <c r="M62">
        <v>900</v>
      </c>
    </row>
    <row r="63" spans="1:13" x14ac:dyDescent="0.25">
      <c r="A63" t="s">
        <v>170</v>
      </c>
      <c r="B63" t="s">
        <v>96</v>
      </c>
      <c r="C63" t="s">
        <v>89</v>
      </c>
      <c r="D63" t="s">
        <v>58</v>
      </c>
      <c r="E63" t="s">
        <v>34</v>
      </c>
      <c r="F63">
        <v>5</v>
      </c>
      <c r="G63">
        <v>2500</v>
      </c>
      <c r="H63" s="1">
        <v>45866</v>
      </c>
      <c r="I63" t="s">
        <v>18</v>
      </c>
      <c r="J63" t="s">
        <v>19</v>
      </c>
      <c r="K63">
        <v>1600</v>
      </c>
      <c r="L63">
        <v>12500</v>
      </c>
      <c r="M63">
        <v>4500</v>
      </c>
    </row>
    <row r="64" spans="1:13" x14ac:dyDescent="0.25">
      <c r="A64" t="s">
        <v>171</v>
      </c>
      <c r="B64" t="s">
        <v>172</v>
      </c>
      <c r="C64" t="s">
        <v>61</v>
      </c>
      <c r="D64" t="s">
        <v>173</v>
      </c>
      <c r="E64" t="s">
        <v>17</v>
      </c>
      <c r="F64">
        <v>4</v>
      </c>
      <c r="G64">
        <v>900</v>
      </c>
      <c r="H64" s="1">
        <v>45670</v>
      </c>
      <c r="I64" t="s">
        <v>38</v>
      </c>
      <c r="J64" t="s">
        <v>45</v>
      </c>
      <c r="K64">
        <v>500</v>
      </c>
      <c r="L64">
        <v>3600</v>
      </c>
      <c r="M64">
        <v>1600</v>
      </c>
    </row>
    <row r="65" spans="1:13" x14ac:dyDescent="0.25">
      <c r="A65" t="s">
        <v>174</v>
      </c>
      <c r="B65" t="s">
        <v>127</v>
      </c>
      <c r="C65" t="s">
        <v>48</v>
      </c>
      <c r="D65" t="s">
        <v>115</v>
      </c>
      <c r="E65" t="s">
        <v>34</v>
      </c>
      <c r="F65">
        <v>3</v>
      </c>
      <c r="G65">
        <v>1800</v>
      </c>
      <c r="H65" s="1">
        <v>45739</v>
      </c>
      <c r="I65" t="s">
        <v>63</v>
      </c>
      <c r="J65" t="s">
        <v>24</v>
      </c>
      <c r="K65">
        <v>1100</v>
      </c>
      <c r="L65">
        <v>5400</v>
      </c>
      <c r="M65">
        <v>2100</v>
      </c>
    </row>
    <row r="66" spans="1:13" x14ac:dyDescent="0.25">
      <c r="A66" t="s">
        <v>175</v>
      </c>
      <c r="B66" t="s">
        <v>176</v>
      </c>
      <c r="C66" t="s">
        <v>57</v>
      </c>
      <c r="D66" t="s">
        <v>105</v>
      </c>
      <c r="E66" t="s">
        <v>53</v>
      </c>
      <c r="F66">
        <v>2</v>
      </c>
      <c r="G66">
        <v>1200</v>
      </c>
      <c r="H66" s="1">
        <v>45760</v>
      </c>
      <c r="I66" t="s">
        <v>38</v>
      </c>
      <c r="J66" t="s">
        <v>39</v>
      </c>
      <c r="K66">
        <v>700</v>
      </c>
      <c r="L66">
        <v>2400</v>
      </c>
      <c r="M66">
        <v>1000</v>
      </c>
    </row>
    <row r="67" spans="1:13" x14ac:dyDescent="0.25">
      <c r="A67" t="s">
        <v>177</v>
      </c>
      <c r="B67" t="s">
        <v>178</v>
      </c>
      <c r="C67" t="s">
        <v>27</v>
      </c>
      <c r="D67" t="s">
        <v>115</v>
      </c>
      <c r="E67" t="s">
        <v>34</v>
      </c>
      <c r="F67">
        <v>2</v>
      </c>
      <c r="G67">
        <v>1800</v>
      </c>
      <c r="H67" s="1">
        <v>45670</v>
      </c>
      <c r="I67" t="s">
        <v>63</v>
      </c>
      <c r="J67" t="s">
        <v>39</v>
      </c>
      <c r="K67">
        <v>1100</v>
      </c>
      <c r="L67">
        <v>3600</v>
      </c>
      <c r="M67">
        <v>1400</v>
      </c>
    </row>
    <row r="68" spans="1:13" x14ac:dyDescent="0.25">
      <c r="A68" t="s">
        <v>179</v>
      </c>
      <c r="B68" t="s">
        <v>180</v>
      </c>
      <c r="C68" t="s">
        <v>27</v>
      </c>
      <c r="D68" t="s">
        <v>37</v>
      </c>
      <c r="E68" t="s">
        <v>34</v>
      </c>
      <c r="F68">
        <v>1</v>
      </c>
      <c r="G68">
        <v>3000</v>
      </c>
      <c r="H68" s="1">
        <v>45800</v>
      </c>
      <c r="I68" t="s">
        <v>63</v>
      </c>
      <c r="J68" t="s">
        <v>29</v>
      </c>
      <c r="K68">
        <v>1900</v>
      </c>
      <c r="L68">
        <v>3000</v>
      </c>
      <c r="M68">
        <v>1100</v>
      </c>
    </row>
    <row r="69" spans="1:13" x14ac:dyDescent="0.25">
      <c r="A69" t="s">
        <v>181</v>
      </c>
      <c r="B69" t="s">
        <v>182</v>
      </c>
      <c r="C69" t="s">
        <v>42</v>
      </c>
      <c r="D69" t="s">
        <v>112</v>
      </c>
      <c r="E69" t="s">
        <v>34</v>
      </c>
      <c r="F69">
        <v>1</v>
      </c>
      <c r="G69">
        <v>1500</v>
      </c>
      <c r="H69" s="1">
        <v>45717</v>
      </c>
      <c r="I69" t="s">
        <v>79</v>
      </c>
      <c r="J69" t="s">
        <v>29</v>
      </c>
      <c r="K69">
        <v>900</v>
      </c>
      <c r="L69">
        <v>1500</v>
      </c>
      <c r="M69">
        <v>600</v>
      </c>
    </row>
    <row r="70" spans="1:13" x14ac:dyDescent="0.25">
      <c r="A70" t="s">
        <v>183</v>
      </c>
      <c r="B70" t="s">
        <v>184</v>
      </c>
      <c r="C70" t="s">
        <v>118</v>
      </c>
      <c r="D70" t="s">
        <v>37</v>
      </c>
      <c r="E70" t="s">
        <v>34</v>
      </c>
      <c r="F70">
        <v>1</v>
      </c>
      <c r="G70">
        <v>3000</v>
      </c>
      <c r="H70" s="1">
        <v>45713</v>
      </c>
      <c r="I70" t="s">
        <v>38</v>
      </c>
      <c r="J70" t="s">
        <v>39</v>
      </c>
      <c r="K70">
        <v>1900</v>
      </c>
      <c r="L70">
        <v>3000</v>
      </c>
      <c r="M70">
        <v>1100</v>
      </c>
    </row>
    <row r="71" spans="1:13" x14ac:dyDescent="0.25">
      <c r="A71" t="s">
        <v>185</v>
      </c>
      <c r="B71" t="s">
        <v>186</v>
      </c>
      <c r="C71" t="s">
        <v>27</v>
      </c>
      <c r="D71" t="s">
        <v>187</v>
      </c>
      <c r="E71" t="s">
        <v>53</v>
      </c>
      <c r="F71">
        <v>5</v>
      </c>
      <c r="G71">
        <v>3500</v>
      </c>
      <c r="H71" s="1">
        <v>45919</v>
      </c>
      <c r="I71" t="s">
        <v>63</v>
      </c>
      <c r="J71" t="s">
        <v>29</v>
      </c>
      <c r="K71">
        <v>2300</v>
      </c>
      <c r="L71">
        <v>17500</v>
      </c>
      <c r="M71">
        <v>6000</v>
      </c>
    </row>
    <row r="72" spans="1:13" x14ac:dyDescent="0.25">
      <c r="A72" t="s">
        <v>188</v>
      </c>
      <c r="B72" t="s">
        <v>184</v>
      </c>
      <c r="C72" t="s">
        <v>118</v>
      </c>
      <c r="D72" t="s">
        <v>33</v>
      </c>
      <c r="E72" t="s">
        <v>34</v>
      </c>
      <c r="F72">
        <v>3</v>
      </c>
      <c r="G72">
        <v>800</v>
      </c>
      <c r="H72" s="1">
        <v>45680</v>
      </c>
      <c r="I72" t="s">
        <v>23</v>
      </c>
      <c r="J72" t="s">
        <v>29</v>
      </c>
      <c r="K72">
        <v>450</v>
      </c>
      <c r="L72">
        <v>2400</v>
      </c>
      <c r="M72">
        <v>1050</v>
      </c>
    </row>
    <row r="73" spans="1:13" x14ac:dyDescent="0.25">
      <c r="A73" t="s">
        <v>189</v>
      </c>
      <c r="B73" t="s">
        <v>190</v>
      </c>
      <c r="C73" t="s">
        <v>191</v>
      </c>
      <c r="D73" t="s">
        <v>52</v>
      </c>
      <c r="E73" t="s">
        <v>53</v>
      </c>
      <c r="F73">
        <v>2</v>
      </c>
      <c r="G73">
        <v>700</v>
      </c>
      <c r="H73" s="1">
        <v>45844</v>
      </c>
      <c r="I73" t="s">
        <v>44</v>
      </c>
      <c r="J73" t="s">
        <v>39</v>
      </c>
      <c r="K73">
        <v>350</v>
      </c>
      <c r="L73">
        <v>1400</v>
      </c>
      <c r="M73">
        <v>700</v>
      </c>
    </row>
    <row r="74" spans="1:13" x14ac:dyDescent="0.25">
      <c r="A74" t="s">
        <v>192</v>
      </c>
      <c r="B74" t="s">
        <v>26</v>
      </c>
      <c r="C74" t="s">
        <v>27</v>
      </c>
      <c r="D74" t="s">
        <v>112</v>
      </c>
      <c r="E74" t="s">
        <v>34</v>
      </c>
      <c r="F74">
        <v>1</v>
      </c>
      <c r="G74">
        <v>1500</v>
      </c>
      <c r="H74" s="1">
        <v>45811</v>
      </c>
      <c r="I74" t="s">
        <v>54</v>
      </c>
      <c r="J74" t="s">
        <v>45</v>
      </c>
      <c r="K74">
        <v>900</v>
      </c>
      <c r="L74">
        <v>1500</v>
      </c>
      <c r="M74">
        <v>600</v>
      </c>
    </row>
    <row r="75" spans="1:13" x14ac:dyDescent="0.25">
      <c r="A75" t="s">
        <v>193</v>
      </c>
      <c r="B75" t="s">
        <v>194</v>
      </c>
      <c r="C75" t="s">
        <v>84</v>
      </c>
      <c r="D75" t="s">
        <v>112</v>
      </c>
      <c r="E75" t="s">
        <v>34</v>
      </c>
      <c r="F75">
        <v>4</v>
      </c>
      <c r="G75">
        <v>1500</v>
      </c>
      <c r="H75" s="1">
        <v>46014</v>
      </c>
      <c r="I75" t="s">
        <v>79</v>
      </c>
      <c r="J75" t="s">
        <v>19</v>
      </c>
      <c r="K75">
        <v>900</v>
      </c>
      <c r="L75">
        <v>6000</v>
      </c>
      <c r="M75">
        <v>2400</v>
      </c>
    </row>
    <row r="76" spans="1:13" x14ac:dyDescent="0.25">
      <c r="A76" t="s">
        <v>195</v>
      </c>
      <c r="B76" t="s">
        <v>196</v>
      </c>
      <c r="C76" t="s">
        <v>124</v>
      </c>
      <c r="D76" t="s">
        <v>187</v>
      </c>
      <c r="E76" t="s">
        <v>53</v>
      </c>
      <c r="F76">
        <v>4</v>
      </c>
      <c r="G76">
        <v>3500</v>
      </c>
      <c r="H76" s="1">
        <v>46004</v>
      </c>
      <c r="I76" t="s">
        <v>54</v>
      </c>
      <c r="J76" t="s">
        <v>45</v>
      </c>
      <c r="K76">
        <v>2300</v>
      </c>
      <c r="L76">
        <v>14000</v>
      </c>
      <c r="M76">
        <v>4800</v>
      </c>
    </row>
    <row r="77" spans="1:13" x14ac:dyDescent="0.25">
      <c r="A77" t="s">
        <v>197</v>
      </c>
      <c r="B77" t="s">
        <v>198</v>
      </c>
      <c r="C77" t="s">
        <v>121</v>
      </c>
      <c r="D77" t="s">
        <v>52</v>
      </c>
      <c r="E77" t="s">
        <v>53</v>
      </c>
      <c r="F77">
        <v>1</v>
      </c>
      <c r="G77">
        <v>700</v>
      </c>
      <c r="H77" s="1">
        <v>45813</v>
      </c>
      <c r="I77" t="s">
        <v>18</v>
      </c>
      <c r="J77" t="s">
        <v>45</v>
      </c>
      <c r="K77">
        <v>350</v>
      </c>
      <c r="L77">
        <v>700</v>
      </c>
      <c r="M77">
        <v>350</v>
      </c>
    </row>
    <row r="78" spans="1:13" x14ac:dyDescent="0.25">
      <c r="A78" t="s">
        <v>199</v>
      </c>
      <c r="B78" t="s">
        <v>163</v>
      </c>
      <c r="C78" t="s">
        <v>121</v>
      </c>
      <c r="D78" t="s">
        <v>112</v>
      </c>
      <c r="E78" t="s">
        <v>34</v>
      </c>
      <c r="F78">
        <v>4</v>
      </c>
      <c r="G78">
        <v>1500</v>
      </c>
      <c r="H78" s="1">
        <v>45884</v>
      </c>
      <c r="I78" t="s">
        <v>18</v>
      </c>
      <c r="J78" t="s">
        <v>29</v>
      </c>
      <c r="K78">
        <v>900</v>
      </c>
      <c r="L78">
        <v>6000</v>
      </c>
      <c r="M78">
        <v>2400</v>
      </c>
    </row>
    <row r="79" spans="1:13" x14ac:dyDescent="0.25">
      <c r="A79" t="s">
        <v>200</v>
      </c>
      <c r="B79" t="s">
        <v>201</v>
      </c>
      <c r="C79" t="s">
        <v>102</v>
      </c>
      <c r="D79" t="s">
        <v>105</v>
      </c>
      <c r="E79" t="s">
        <v>53</v>
      </c>
      <c r="F79">
        <v>2</v>
      </c>
      <c r="G79">
        <v>1200</v>
      </c>
      <c r="H79" s="1">
        <v>45995</v>
      </c>
      <c r="I79" t="s">
        <v>54</v>
      </c>
      <c r="J79" t="s">
        <v>29</v>
      </c>
      <c r="K79">
        <v>700</v>
      </c>
      <c r="L79">
        <v>2400</v>
      </c>
      <c r="M79">
        <v>1000</v>
      </c>
    </row>
    <row r="80" spans="1:13" x14ac:dyDescent="0.25">
      <c r="A80" t="s">
        <v>202</v>
      </c>
      <c r="B80" t="s">
        <v>203</v>
      </c>
      <c r="C80" t="s">
        <v>89</v>
      </c>
      <c r="D80" t="s">
        <v>112</v>
      </c>
      <c r="E80" t="s">
        <v>34</v>
      </c>
      <c r="F80">
        <v>1</v>
      </c>
      <c r="G80">
        <v>1500</v>
      </c>
      <c r="H80" s="1">
        <v>45778</v>
      </c>
      <c r="I80" t="s">
        <v>18</v>
      </c>
      <c r="J80" t="s">
        <v>19</v>
      </c>
      <c r="K80">
        <v>900</v>
      </c>
      <c r="L80">
        <v>1500</v>
      </c>
      <c r="M80">
        <v>600</v>
      </c>
    </row>
    <row r="81" spans="1:13" x14ac:dyDescent="0.25">
      <c r="A81" t="s">
        <v>204</v>
      </c>
      <c r="B81" t="s">
        <v>14</v>
      </c>
      <c r="C81" t="s">
        <v>15</v>
      </c>
      <c r="D81" t="s">
        <v>43</v>
      </c>
      <c r="E81" t="s">
        <v>17</v>
      </c>
      <c r="F81">
        <v>1</v>
      </c>
      <c r="G81">
        <v>1800</v>
      </c>
      <c r="H81" s="1">
        <v>45681</v>
      </c>
      <c r="I81" t="s">
        <v>35</v>
      </c>
      <c r="J81" t="s">
        <v>29</v>
      </c>
      <c r="K81">
        <v>1100</v>
      </c>
      <c r="L81">
        <v>1800</v>
      </c>
      <c r="M81">
        <v>700</v>
      </c>
    </row>
    <row r="82" spans="1:13" x14ac:dyDescent="0.25">
      <c r="A82" t="s">
        <v>205</v>
      </c>
      <c r="B82" t="s">
        <v>206</v>
      </c>
      <c r="C82" t="s">
        <v>48</v>
      </c>
      <c r="D82" t="s">
        <v>28</v>
      </c>
      <c r="E82" t="s">
        <v>17</v>
      </c>
      <c r="F82">
        <v>4</v>
      </c>
      <c r="G82">
        <v>2500</v>
      </c>
      <c r="H82" s="1">
        <v>45870</v>
      </c>
      <c r="I82" t="s">
        <v>18</v>
      </c>
      <c r="J82" t="s">
        <v>45</v>
      </c>
      <c r="K82">
        <v>1500</v>
      </c>
      <c r="L82">
        <v>10000</v>
      </c>
      <c r="M82">
        <v>4000</v>
      </c>
    </row>
    <row r="83" spans="1:13" x14ac:dyDescent="0.25">
      <c r="A83" t="s">
        <v>207</v>
      </c>
      <c r="B83" t="s">
        <v>208</v>
      </c>
      <c r="C83" t="s">
        <v>57</v>
      </c>
      <c r="D83" t="s">
        <v>105</v>
      </c>
      <c r="E83" t="s">
        <v>53</v>
      </c>
      <c r="F83">
        <v>4</v>
      </c>
      <c r="G83">
        <v>1200</v>
      </c>
      <c r="H83" s="1">
        <v>45782</v>
      </c>
      <c r="I83" t="s">
        <v>23</v>
      </c>
      <c r="J83" t="s">
        <v>24</v>
      </c>
      <c r="K83">
        <v>700</v>
      </c>
      <c r="L83">
        <v>4800</v>
      </c>
      <c r="M83">
        <v>2000</v>
      </c>
    </row>
    <row r="84" spans="1:13" x14ac:dyDescent="0.25">
      <c r="A84" t="s">
        <v>209</v>
      </c>
      <c r="B84" t="s">
        <v>210</v>
      </c>
      <c r="C84" t="s">
        <v>157</v>
      </c>
      <c r="D84" t="s">
        <v>187</v>
      </c>
      <c r="E84" t="s">
        <v>53</v>
      </c>
      <c r="F84">
        <v>2</v>
      </c>
      <c r="G84">
        <v>3500</v>
      </c>
      <c r="H84" s="1">
        <v>45748</v>
      </c>
      <c r="I84" t="s">
        <v>35</v>
      </c>
      <c r="J84" t="s">
        <v>24</v>
      </c>
      <c r="K84">
        <v>2300</v>
      </c>
      <c r="L84">
        <v>7000</v>
      </c>
      <c r="M84">
        <v>2400</v>
      </c>
    </row>
    <row r="85" spans="1:13" x14ac:dyDescent="0.25">
      <c r="A85" t="s">
        <v>211</v>
      </c>
      <c r="B85" t="s">
        <v>212</v>
      </c>
      <c r="C85" t="s">
        <v>32</v>
      </c>
      <c r="D85" t="s">
        <v>52</v>
      </c>
      <c r="E85" t="s">
        <v>53</v>
      </c>
      <c r="F85">
        <v>2</v>
      </c>
      <c r="G85">
        <v>700</v>
      </c>
      <c r="H85" s="1">
        <v>45720</v>
      </c>
      <c r="I85" t="s">
        <v>79</v>
      </c>
      <c r="J85" t="s">
        <v>45</v>
      </c>
      <c r="K85">
        <v>350</v>
      </c>
      <c r="L85">
        <v>1400</v>
      </c>
      <c r="M85">
        <v>700</v>
      </c>
    </row>
    <row r="86" spans="1:13" x14ac:dyDescent="0.25">
      <c r="A86" t="s">
        <v>213</v>
      </c>
      <c r="B86" t="s">
        <v>214</v>
      </c>
      <c r="C86" t="s">
        <v>102</v>
      </c>
      <c r="D86" t="s">
        <v>97</v>
      </c>
      <c r="E86" t="s">
        <v>53</v>
      </c>
      <c r="F86">
        <v>5</v>
      </c>
      <c r="G86">
        <v>1000</v>
      </c>
      <c r="H86" s="1">
        <v>45962</v>
      </c>
      <c r="I86" t="s">
        <v>35</v>
      </c>
      <c r="J86" t="s">
        <v>29</v>
      </c>
      <c r="K86">
        <v>600</v>
      </c>
      <c r="L86">
        <v>5000</v>
      </c>
      <c r="M86">
        <v>2000</v>
      </c>
    </row>
    <row r="87" spans="1:13" x14ac:dyDescent="0.25">
      <c r="A87" t="s">
        <v>215</v>
      </c>
      <c r="B87" t="s">
        <v>216</v>
      </c>
      <c r="C87" t="s">
        <v>66</v>
      </c>
      <c r="D87" t="s">
        <v>97</v>
      </c>
      <c r="E87" t="s">
        <v>53</v>
      </c>
      <c r="F87">
        <v>4</v>
      </c>
      <c r="G87">
        <v>1000</v>
      </c>
      <c r="H87" s="1">
        <v>45938</v>
      </c>
      <c r="I87" t="s">
        <v>79</v>
      </c>
      <c r="J87" t="s">
        <v>45</v>
      </c>
      <c r="K87">
        <v>600</v>
      </c>
      <c r="L87">
        <v>4000</v>
      </c>
      <c r="M87">
        <v>1600</v>
      </c>
    </row>
    <row r="88" spans="1:13" x14ac:dyDescent="0.25">
      <c r="A88" t="s">
        <v>217</v>
      </c>
      <c r="B88" t="s">
        <v>218</v>
      </c>
      <c r="C88" t="s">
        <v>191</v>
      </c>
      <c r="D88" t="s">
        <v>67</v>
      </c>
      <c r="E88" t="s">
        <v>53</v>
      </c>
      <c r="F88">
        <v>3</v>
      </c>
      <c r="G88">
        <v>2800</v>
      </c>
      <c r="H88" s="1">
        <v>45784</v>
      </c>
      <c r="I88" t="s">
        <v>35</v>
      </c>
      <c r="J88" t="s">
        <v>19</v>
      </c>
      <c r="K88">
        <v>1800</v>
      </c>
      <c r="L88">
        <v>8400</v>
      </c>
      <c r="M88">
        <v>3000</v>
      </c>
    </row>
    <row r="89" spans="1:13" x14ac:dyDescent="0.25">
      <c r="A89" t="s">
        <v>219</v>
      </c>
      <c r="B89" t="s">
        <v>198</v>
      </c>
      <c r="C89" t="s">
        <v>121</v>
      </c>
      <c r="D89" t="s">
        <v>37</v>
      </c>
      <c r="E89" t="s">
        <v>34</v>
      </c>
      <c r="F89">
        <v>4</v>
      </c>
      <c r="G89">
        <v>3000</v>
      </c>
      <c r="H89" s="1">
        <v>45697</v>
      </c>
      <c r="I89" t="s">
        <v>18</v>
      </c>
      <c r="J89" t="s">
        <v>39</v>
      </c>
      <c r="K89">
        <v>1900</v>
      </c>
      <c r="L89">
        <v>12000</v>
      </c>
      <c r="M89">
        <v>4400</v>
      </c>
    </row>
    <row r="90" spans="1:13" x14ac:dyDescent="0.25">
      <c r="A90" t="s">
        <v>220</v>
      </c>
      <c r="B90" t="s">
        <v>50</v>
      </c>
      <c r="C90" t="s">
        <v>51</v>
      </c>
      <c r="D90" t="s">
        <v>112</v>
      </c>
      <c r="E90" t="s">
        <v>34</v>
      </c>
      <c r="F90">
        <v>3</v>
      </c>
      <c r="G90">
        <v>1500</v>
      </c>
      <c r="H90" s="1">
        <v>45934</v>
      </c>
      <c r="I90" t="s">
        <v>79</v>
      </c>
      <c r="J90" t="s">
        <v>19</v>
      </c>
      <c r="K90">
        <v>900</v>
      </c>
      <c r="L90">
        <v>4500</v>
      </c>
      <c r="M90">
        <v>1800</v>
      </c>
    </row>
    <row r="91" spans="1:13" x14ac:dyDescent="0.25">
      <c r="A91" t="s">
        <v>221</v>
      </c>
      <c r="B91" t="s">
        <v>96</v>
      </c>
      <c r="C91" t="s">
        <v>89</v>
      </c>
      <c r="D91" t="s">
        <v>115</v>
      </c>
      <c r="E91" t="s">
        <v>34</v>
      </c>
      <c r="F91">
        <v>4</v>
      </c>
      <c r="G91">
        <v>1800</v>
      </c>
      <c r="H91" s="1">
        <v>46013</v>
      </c>
      <c r="I91" t="s">
        <v>18</v>
      </c>
      <c r="J91" t="s">
        <v>24</v>
      </c>
      <c r="K91">
        <v>1100</v>
      </c>
      <c r="L91">
        <v>7200</v>
      </c>
      <c r="M91">
        <v>2800</v>
      </c>
    </row>
    <row r="92" spans="1:13" x14ac:dyDescent="0.25">
      <c r="A92" t="s">
        <v>222</v>
      </c>
      <c r="B92" t="s">
        <v>132</v>
      </c>
      <c r="C92" t="s">
        <v>133</v>
      </c>
      <c r="D92" t="s">
        <v>187</v>
      </c>
      <c r="E92" t="s">
        <v>53</v>
      </c>
      <c r="F92">
        <v>4</v>
      </c>
      <c r="G92">
        <v>3500</v>
      </c>
      <c r="H92" s="1">
        <v>45827</v>
      </c>
      <c r="I92" t="s">
        <v>35</v>
      </c>
      <c r="J92" t="s">
        <v>45</v>
      </c>
      <c r="K92">
        <v>2300</v>
      </c>
      <c r="L92">
        <v>14000</v>
      </c>
      <c r="M92">
        <v>4800</v>
      </c>
    </row>
    <row r="93" spans="1:13" x14ac:dyDescent="0.25">
      <c r="A93" t="s">
        <v>223</v>
      </c>
      <c r="B93" t="s">
        <v>224</v>
      </c>
      <c r="C93" t="s">
        <v>89</v>
      </c>
      <c r="D93" t="s">
        <v>75</v>
      </c>
      <c r="E93" t="s">
        <v>17</v>
      </c>
      <c r="F93">
        <v>2</v>
      </c>
      <c r="G93">
        <v>22000</v>
      </c>
      <c r="H93" s="1">
        <v>45873</v>
      </c>
      <c r="I93" t="s">
        <v>23</v>
      </c>
      <c r="J93" t="s">
        <v>29</v>
      </c>
      <c r="K93">
        <v>17000</v>
      </c>
      <c r="L93">
        <v>44000</v>
      </c>
      <c r="M93">
        <v>10000</v>
      </c>
    </row>
    <row r="94" spans="1:13" x14ac:dyDescent="0.25">
      <c r="A94" t="s">
        <v>225</v>
      </c>
      <c r="B94" t="s">
        <v>226</v>
      </c>
      <c r="C94" t="s">
        <v>191</v>
      </c>
      <c r="D94" t="s">
        <v>78</v>
      </c>
      <c r="E94" t="s">
        <v>53</v>
      </c>
      <c r="F94">
        <v>4</v>
      </c>
      <c r="G94">
        <v>4500</v>
      </c>
      <c r="H94" s="1">
        <v>45661</v>
      </c>
      <c r="I94" t="s">
        <v>54</v>
      </c>
      <c r="J94" t="s">
        <v>45</v>
      </c>
      <c r="K94">
        <v>2900</v>
      </c>
      <c r="L94">
        <v>18000</v>
      </c>
      <c r="M94">
        <v>6400</v>
      </c>
    </row>
    <row r="95" spans="1:13" x14ac:dyDescent="0.25">
      <c r="A95" t="s">
        <v>227</v>
      </c>
      <c r="B95" t="s">
        <v>31</v>
      </c>
      <c r="C95" t="s">
        <v>32</v>
      </c>
      <c r="D95" t="s">
        <v>187</v>
      </c>
      <c r="E95" t="s">
        <v>53</v>
      </c>
      <c r="F95">
        <v>5</v>
      </c>
      <c r="G95">
        <v>3500</v>
      </c>
      <c r="H95" s="1">
        <v>45937</v>
      </c>
      <c r="I95" t="s">
        <v>35</v>
      </c>
      <c r="J95" t="s">
        <v>19</v>
      </c>
      <c r="K95">
        <v>2300</v>
      </c>
      <c r="L95">
        <v>17500</v>
      </c>
      <c r="M95">
        <v>6000</v>
      </c>
    </row>
    <row r="96" spans="1:13" x14ac:dyDescent="0.25">
      <c r="A96" t="s">
        <v>228</v>
      </c>
      <c r="B96" t="s">
        <v>229</v>
      </c>
      <c r="C96" t="s">
        <v>48</v>
      </c>
      <c r="D96" t="s">
        <v>37</v>
      </c>
      <c r="E96" t="s">
        <v>34</v>
      </c>
      <c r="F96">
        <v>4</v>
      </c>
      <c r="G96">
        <v>3000</v>
      </c>
      <c r="H96" s="1">
        <v>45906</v>
      </c>
      <c r="I96" t="s">
        <v>63</v>
      </c>
      <c r="J96" t="s">
        <v>39</v>
      </c>
      <c r="K96">
        <v>1900</v>
      </c>
      <c r="L96">
        <v>12000</v>
      </c>
      <c r="M96">
        <v>4400</v>
      </c>
    </row>
    <row r="97" spans="1:13" x14ac:dyDescent="0.25">
      <c r="A97" t="s">
        <v>230</v>
      </c>
      <c r="B97" t="s">
        <v>167</v>
      </c>
      <c r="C97" t="s">
        <v>157</v>
      </c>
      <c r="D97" t="s">
        <v>78</v>
      </c>
      <c r="E97" t="s">
        <v>53</v>
      </c>
      <c r="F97">
        <v>2</v>
      </c>
      <c r="G97">
        <v>4500</v>
      </c>
      <c r="H97" s="1">
        <v>45897</v>
      </c>
      <c r="I97" t="s">
        <v>23</v>
      </c>
      <c r="J97" t="s">
        <v>45</v>
      </c>
      <c r="K97">
        <v>2900</v>
      </c>
      <c r="L97">
        <v>9000</v>
      </c>
      <c r="M97">
        <v>3200</v>
      </c>
    </row>
    <row r="98" spans="1:13" x14ac:dyDescent="0.25">
      <c r="A98" t="s">
        <v>231</v>
      </c>
      <c r="B98" t="s">
        <v>232</v>
      </c>
      <c r="C98" t="s">
        <v>27</v>
      </c>
      <c r="D98" t="s">
        <v>92</v>
      </c>
      <c r="E98" t="s">
        <v>17</v>
      </c>
      <c r="F98">
        <v>1</v>
      </c>
      <c r="G98">
        <v>55000</v>
      </c>
      <c r="H98" s="1">
        <v>45987</v>
      </c>
      <c r="I98" t="s">
        <v>79</v>
      </c>
      <c r="J98" t="s">
        <v>45</v>
      </c>
      <c r="K98">
        <v>42000</v>
      </c>
      <c r="L98">
        <v>55000</v>
      </c>
      <c r="M98">
        <v>13000</v>
      </c>
    </row>
    <row r="99" spans="1:13" x14ac:dyDescent="0.25">
      <c r="A99" t="s">
        <v>233</v>
      </c>
      <c r="B99" t="s">
        <v>137</v>
      </c>
      <c r="C99" t="s">
        <v>57</v>
      </c>
      <c r="D99" t="s">
        <v>173</v>
      </c>
      <c r="E99" t="s">
        <v>17</v>
      </c>
      <c r="F99">
        <v>1</v>
      </c>
      <c r="G99">
        <v>900</v>
      </c>
      <c r="H99" s="1">
        <v>45791</v>
      </c>
      <c r="I99" t="s">
        <v>38</v>
      </c>
      <c r="J99" t="s">
        <v>19</v>
      </c>
      <c r="K99">
        <v>500</v>
      </c>
      <c r="L99">
        <v>900</v>
      </c>
      <c r="M99">
        <v>400</v>
      </c>
    </row>
    <row r="100" spans="1:13" x14ac:dyDescent="0.25">
      <c r="A100" t="s">
        <v>234</v>
      </c>
      <c r="B100" t="s">
        <v>137</v>
      </c>
      <c r="C100" t="s">
        <v>57</v>
      </c>
      <c r="D100" t="s">
        <v>67</v>
      </c>
      <c r="E100" t="s">
        <v>53</v>
      </c>
      <c r="F100">
        <v>3</v>
      </c>
      <c r="G100">
        <v>2800</v>
      </c>
      <c r="H100" s="1">
        <v>45830</v>
      </c>
      <c r="I100" t="s">
        <v>54</v>
      </c>
      <c r="J100" t="s">
        <v>45</v>
      </c>
      <c r="K100">
        <v>1800</v>
      </c>
      <c r="L100">
        <v>8400</v>
      </c>
      <c r="M100">
        <v>3000</v>
      </c>
    </row>
    <row r="101" spans="1:13" x14ac:dyDescent="0.25">
      <c r="A101" t="s">
        <v>235</v>
      </c>
      <c r="B101" t="s">
        <v>236</v>
      </c>
      <c r="C101" t="s">
        <v>124</v>
      </c>
      <c r="D101" t="s">
        <v>37</v>
      </c>
      <c r="E101" t="s">
        <v>34</v>
      </c>
      <c r="F101">
        <v>1</v>
      </c>
      <c r="G101">
        <v>3000</v>
      </c>
      <c r="H101" s="1">
        <v>45898</v>
      </c>
      <c r="I101" t="s">
        <v>23</v>
      </c>
      <c r="J101" t="s">
        <v>39</v>
      </c>
      <c r="K101">
        <v>1900</v>
      </c>
      <c r="L101">
        <v>3000</v>
      </c>
      <c r="M101">
        <v>1100</v>
      </c>
    </row>
    <row r="102" spans="1:13" x14ac:dyDescent="0.25">
      <c r="A102" t="s">
        <v>237</v>
      </c>
      <c r="B102" t="s">
        <v>238</v>
      </c>
      <c r="C102" t="s">
        <v>191</v>
      </c>
      <c r="D102" t="s">
        <v>115</v>
      </c>
      <c r="E102" t="s">
        <v>34</v>
      </c>
      <c r="F102">
        <v>1</v>
      </c>
      <c r="G102">
        <v>1800</v>
      </c>
      <c r="H102" s="1">
        <v>45991</v>
      </c>
      <c r="I102" t="s">
        <v>23</v>
      </c>
      <c r="J102" t="s">
        <v>19</v>
      </c>
      <c r="K102">
        <v>1100</v>
      </c>
      <c r="L102">
        <v>1800</v>
      </c>
      <c r="M102">
        <v>700</v>
      </c>
    </row>
    <row r="103" spans="1:13" x14ac:dyDescent="0.25">
      <c r="A103" t="s">
        <v>239</v>
      </c>
      <c r="B103" t="s">
        <v>96</v>
      </c>
      <c r="C103" t="s">
        <v>89</v>
      </c>
      <c r="D103" t="s">
        <v>33</v>
      </c>
      <c r="E103" t="s">
        <v>34</v>
      </c>
      <c r="F103">
        <v>1</v>
      </c>
      <c r="G103">
        <v>800</v>
      </c>
      <c r="H103" s="1">
        <v>45976</v>
      </c>
      <c r="I103" t="s">
        <v>18</v>
      </c>
      <c r="J103" t="s">
        <v>19</v>
      </c>
      <c r="K103">
        <v>450</v>
      </c>
      <c r="L103">
        <v>800</v>
      </c>
      <c r="M103">
        <v>350</v>
      </c>
    </row>
    <row r="104" spans="1:13" x14ac:dyDescent="0.25">
      <c r="A104" t="s">
        <v>240</v>
      </c>
      <c r="B104" t="s">
        <v>241</v>
      </c>
      <c r="C104" t="s">
        <v>84</v>
      </c>
      <c r="D104" t="s">
        <v>105</v>
      </c>
      <c r="E104" t="s">
        <v>53</v>
      </c>
      <c r="F104">
        <v>1</v>
      </c>
      <c r="G104">
        <v>1200</v>
      </c>
      <c r="H104" s="1">
        <v>45946</v>
      </c>
      <c r="I104" t="s">
        <v>35</v>
      </c>
      <c r="J104" t="s">
        <v>39</v>
      </c>
      <c r="K104">
        <v>700</v>
      </c>
      <c r="L104">
        <v>1200</v>
      </c>
      <c r="M104">
        <v>500</v>
      </c>
    </row>
    <row r="105" spans="1:13" x14ac:dyDescent="0.25">
      <c r="A105" t="s">
        <v>242</v>
      </c>
      <c r="B105" t="s">
        <v>186</v>
      </c>
      <c r="C105" t="s">
        <v>27</v>
      </c>
      <c r="D105" t="s">
        <v>58</v>
      </c>
      <c r="E105" t="s">
        <v>34</v>
      </c>
      <c r="F105">
        <v>2</v>
      </c>
      <c r="G105">
        <v>2500</v>
      </c>
      <c r="H105" s="1">
        <v>45968</v>
      </c>
      <c r="I105" t="s">
        <v>79</v>
      </c>
      <c r="J105" t="s">
        <v>39</v>
      </c>
      <c r="K105">
        <v>1600</v>
      </c>
      <c r="L105">
        <v>5000</v>
      </c>
      <c r="M105">
        <v>1800</v>
      </c>
    </row>
    <row r="106" spans="1:13" x14ac:dyDescent="0.25">
      <c r="A106" t="s">
        <v>243</v>
      </c>
      <c r="B106" t="s">
        <v>203</v>
      </c>
      <c r="C106" t="s">
        <v>89</v>
      </c>
      <c r="D106" t="s">
        <v>16</v>
      </c>
      <c r="E106" t="s">
        <v>17</v>
      </c>
      <c r="F106">
        <v>5</v>
      </c>
      <c r="G106">
        <v>5000</v>
      </c>
      <c r="H106" s="1">
        <v>45671</v>
      </c>
      <c r="I106" t="s">
        <v>63</v>
      </c>
      <c r="J106" t="s">
        <v>45</v>
      </c>
      <c r="K106">
        <v>3200</v>
      </c>
      <c r="L106">
        <v>25000</v>
      </c>
      <c r="M106">
        <v>9000</v>
      </c>
    </row>
    <row r="107" spans="1:13" x14ac:dyDescent="0.25">
      <c r="A107" t="s">
        <v>244</v>
      </c>
      <c r="B107" t="s">
        <v>14</v>
      </c>
      <c r="C107" t="s">
        <v>15</v>
      </c>
      <c r="D107" t="s">
        <v>33</v>
      </c>
      <c r="E107" t="s">
        <v>34</v>
      </c>
      <c r="F107">
        <v>1</v>
      </c>
      <c r="G107">
        <v>800</v>
      </c>
      <c r="H107" s="1">
        <v>45961</v>
      </c>
      <c r="I107" t="s">
        <v>44</v>
      </c>
      <c r="J107" t="s">
        <v>39</v>
      </c>
      <c r="K107">
        <v>450</v>
      </c>
      <c r="L107">
        <v>800</v>
      </c>
      <c r="M107">
        <v>350</v>
      </c>
    </row>
    <row r="108" spans="1:13" x14ac:dyDescent="0.25">
      <c r="A108" t="s">
        <v>245</v>
      </c>
      <c r="B108" t="s">
        <v>246</v>
      </c>
      <c r="C108" t="s">
        <v>22</v>
      </c>
      <c r="D108" t="s">
        <v>16</v>
      </c>
      <c r="E108" t="s">
        <v>17</v>
      </c>
      <c r="F108">
        <v>5</v>
      </c>
      <c r="G108">
        <v>5000</v>
      </c>
      <c r="H108" s="1">
        <v>45679</v>
      </c>
      <c r="I108" t="s">
        <v>63</v>
      </c>
      <c r="J108" t="s">
        <v>39</v>
      </c>
      <c r="K108">
        <v>3200</v>
      </c>
      <c r="L108">
        <v>25000</v>
      </c>
      <c r="M108">
        <v>9000</v>
      </c>
    </row>
    <row r="109" spans="1:13" x14ac:dyDescent="0.25">
      <c r="A109" t="s">
        <v>247</v>
      </c>
      <c r="B109" t="s">
        <v>248</v>
      </c>
      <c r="C109" t="s">
        <v>48</v>
      </c>
      <c r="D109" t="s">
        <v>28</v>
      </c>
      <c r="E109" t="s">
        <v>17</v>
      </c>
      <c r="F109">
        <v>5</v>
      </c>
      <c r="G109">
        <v>2500</v>
      </c>
      <c r="H109" s="1">
        <v>45989</v>
      </c>
      <c r="I109" t="s">
        <v>23</v>
      </c>
      <c r="J109" t="s">
        <v>45</v>
      </c>
      <c r="K109">
        <v>1500</v>
      </c>
      <c r="L109">
        <v>12500</v>
      </c>
      <c r="M109">
        <v>5000</v>
      </c>
    </row>
    <row r="110" spans="1:13" x14ac:dyDescent="0.25">
      <c r="A110" t="s">
        <v>249</v>
      </c>
      <c r="B110" t="s">
        <v>250</v>
      </c>
      <c r="C110" t="s">
        <v>157</v>
      </c>
      <c r="D110" t="s">
        <v>105</v>
      </c>
      <c r="E110" t="s">
        <v>53</v>
      </c>
      <c r="F110">
        <v>1</v>
      </c>
      <c r="G110">
        <v>1200</v>
      </c>
      <c r="H110" s="1">
        <v>45879</v>
      </c>
      <c r="I110" t="s">
        <v>35</v>
      </c>
      <c r="J110" t="s">
        <v>19</v>
      </c>
      <c r="K110">
        <v>700</v>
      </c>
      <c r="L110">
        <v>1200</v>
      </c>
      <c r="M110">
        <v>500</v>
      </c>
    </row>
    <row r="111" spans="1:13" x14ac:dyDescent="0.25">
      <c r="A111" t="s">
        <v>251</v>
      </c>
      <c r="B111" t="s">
        <v>252</v>
      </c>
      <c r="C111" t="s">
        <v>27</v>
      </c>
      <c r="D111" t="s">
        <v>187</v>
      </c>
      <c r="E111" t="s">
        <v>53</v>
      </c>
      <c r="F111">
        <v>2</v>
      </c>
      <c r="G111">
        <v>3500</v>
      </c>
      <c r="H111" s="1">
        <v>45925</v>
      </c>
      <c r="I111" t="s">
        <v>35</v>
      </c>
      <c r="J111" t="s">
        <v>45</v>
      </c>
      <c r="K111">
        <v>2300</v>
      </c>
      <c r="L111">
        <v>7000</v>
      </c>
      <c r="M111">
        <v>2400</v>
      </c>
    </row>
    <row r="112" spans="1:13" x14ac:dyDescent="0.25">
      <c r="A112" t="s">
        <v>253</v>
      </c>
      <c r="B112" t="s">
        <v>99</v>
      </c>
      <c r="C112" t="s">
        <v>15</v>
      </c>
      <c r="D112" t="s">
        <v>187</v>
      </c>
      <c r="E112" t="s">
        <v>53</v>
      </c>
      <c r="F112">
        <v>5</v>
      </c>
      <c r="G112">
        <v>3500</v>
      </c>
      <c r="H112" s="1">
        <v>45795</v>
      </c>
      <c r="I112" t="s">
        <v>18</v>
      </c>
      <c r="J112" t="s">
        <v>24</v>
      </c>
      <c r="K112">
        <v>2300</v>
      </c>
      <c r="L112">
        <v>17500</v>
      </c>
      <c r="M112">
        <v>6000</v>
      </c>
    </row>
    <row r="113" spans="1:13" x14ac:dyDescent="0.25">
      <c r="A113" t="s">
        <v>254</v>
      </c>
      <c r="B113" t="s">
        <v>255</v>
      </c>
      <c r="C113" t="s">
        <v>133</v>
      </c>
      <c r="D113" t="s">
        <v>37</v>
      </c>
      <c r="E113" t="s">
        <v>34</v>
      </c>
      <c r="F113">
        <v>4</v>
      </c>
      <c r="G113">
        <v>3000</v>
      </c>
      <c r="H113" s="1">
        <v>45782</v>
      </c>
      <c r="I113" t="s">
        <v>63</v>
      </c>
      <c r="J113" t="s">
        <v>39</v>
      </c>
      <c r="K113">
        <v>1900</v>
      </c>
      <c r="L113">
        <v>12000</v>
      </c>
      <c r="M113">
        <v>4400</v>
      </c>
    </row>
    <row r="114" spans="1:13" x14ac:dyDescent="0.25">
      <c r="A114" t="s">
        <v>256</v>
      </c>
      <c r="B114" t="s">
        <v>257</v>
      </c>
      <c r="C114" t="s">
        <v>42</v>
      </c>
      <c r="D114" t="s">
        <v>92</v>
      </c>
      <c r="E114" t="s">
        <v>17</v>
      </c>
      <c r="F114">
        <v>4</v>
      </c>
      <c r="G114">
        <v>55000</v>
      </c>
      <c r="H114" s="1">
        <v>45824</v>
      </c>
      <c r="I114" t="s">
        <v>35</v>
      </c>
      <c r="J114" t="s">
        <v>19</v>
      </c>
      <c r="K114">
        <v>42000</v>
      </c>
      <c r="L114">
        <v>220000</v>
      </c>
      <c r="M114">
        <v>52000</v>
      </c>
    </row>
    <row r="115" spans="1:13" x14ac:dyDescent="0.25">
      <c r="A115" t="s">
        <v>258</v>
      </c>
      <c r="B115" t="s">
        <v>259</v>
      </c>
      <c r="C115" t="s">
        <v>118</v>
      </c>
      <c r="D115" t="s">
        <v>58</v>
      </c>
      <c r="E115" t="s">
        <v>34</v>
      </c>
      <c r="F115">
        <v>3</v>
      </c>
      <c r="G115">
        <v>2500</v>
      </c>
      <c r="H115" s="1">
        <v>45832</v>
      </c>
      <c r="I115" t="s">
        <v>54</v>
      </c>
      <c r="J115" t="s">
        <v>29</v>
      </c>
      <c r="K115">
        <v>1600</v>
      </c>
      <c r="L115">
        <v>7500</v>
      </c>
      <c r="M115">
        <v>2700</v>
      </c>
    </row>
    <row r="116" spans="1:13" x14ac:dyDescent="0.25">
      <c r="A116" t="s">
        <v>260</v>
      </c>
      <c r="B116" t="s">
        <v>201</v>
      </c>
      <c r="C116" t="s">
        <v>102</v>
      </c>
      <c r="D116" t="s">
        <v>92</v>
      </c>
      <c r="E116" t="s">
        <v>17</v>
      </c>
      <c r="F116">
        <v>5</v>
      </c>
      <c r="G116">
        <v>55000</v>
      </c>
      <c r="H116" s="1">
        <v>45755</v>
      </c>
      <c r="I116" t="s">
        <v>18</v>
      </c>
      <c r="J116" t="s">
        <v>45</v>
      </c>
      <c r="K116">
        <v>42000</v>
      </c>
      <c r="L116">
        <v>275000</v>
      </c>
      <c r="M116">
        <v>65000</v>
      </c>
    </row>
    <row r="117" spans="1:13" x14ac:dyDescent="0.25">
      <c r="A117" t="s">
        <v>261</v>
      </c>
      <c r="B117" t="s">
        <v>262</v>
      </c>
      <c r="C117" t="s">
        <v>102</v>
      </c>
      <c r="D117" t="s">
        <v>105</v>
      </c>
      <c r="E117" t="s">
        <v>53</v>
      </c>
      <c r="F117">
        <v>5</v>
      </c>
      <c r="G117">
        <v>1200</v>
      </c>
      <c r="H117" s="1">
        <v>45781</v>
      </c>
      <c r="I117" t="s">
        <v>35</v>
      </c>
      <c r="J117" t="s">
        <v>45</v>
      </c>
      <c r="K117">
        <v>700</v>
      </c>
      <c r="L117">
        <v>6000</v>
      </c>
      <c r="M117">
        <v>2500</v>
      </c>
    </row>
    <row r="118" spans="1:13" x14ac:dyDescent="0.25">
      <c r="A118" t="s">
        <v>263</v>
      </c>
      <c r="B118" t="s">
        <v>31</v>
      </c>
      <c r="C118" t="s">
        <v>32</v>
      </c>
      <c r="D118" t="s">
        <v>92</v>
      </c>
      <c r="E118" t="s">
        <v>17</v>
      </c>
      <c r="F118">
        <v>1</v>
      </c>
      <c r="G118">
        <v>55000</v>
      </c>
      <c r="H118" s="1">
        <v>45808</v>
      </c>
      <c r="I118" t="s">
        <v>63</v>
      </c>
      <c r="J118" t="s">
        <v>19</v>
      </c>
      <c r="K118">
        <v>42000</v>
      </c>
      <c r="L118">
        <v>55000</v>
      </c>
      <c r="M118">
        <v>13000</v>
      </c>
    </row>
    <row r="119" spans="1:13" x14ac:dyDescent="0.25">
      <c r="A119" t="s">
        <v>264</v>
      </c>
      <c r="B119" t="s">
        <v>262</v>
      </c>
      <c r="C119" t="s">
        <v>102</v>
      </c>
      <c r="D119" t="s">
        <v>62</v>
      </c>
      <c r="E119" t="s">
        <v>34</v>
      </c>
      <c r="F119">
        <v>5</v>
      </c>
      <c r="G119">
        <v>2200</v>
      </c>
      <c r="H119" s="1">
        <v>45846</v>
      </c>
      <c r="I119" t="s">
        <v>38</v>
      </c>
      <c r="J119" t="s">
        <v>45</v>
      </c>
      <c r="K119">
        <v>1400</v>
      </c>
      <c r="L119">
        <v>11000</v>
      </c>
      <c r="M119">
        <v>4000</v>
      </c>
    </row>
    <row r="120" spans="1:13" x14ac:dyDescent="0.25">
      <c r="A120" t="s">
        <v>265</v>
      </c>
      <c r="B120" t="s">
        <v>212</v>
      </c>
      <c r="C120" t="s">
        <v>32</v>
      </c>
      <c r="D120" t="s">
        <v>52</v>
      </c>
      <c r="E120" t="s">
        <v>53</v>
      </c>
      <c r="F120">
        <v>3</v>
      </c>
      <c r="G120">
        <v>700</v>
      </c>
      <c r="H120" s="1">
        <v>45838</v>
      </c>
      <c r="I120" t="s">
        <v>54</v>
      </c>
      <c r="J120" t="s">
        <v>39</v>
      </c>
      <c r="K120">
        <v>350</v>
      </c>
      <c r="L120">
        <v>2100</v>
      </c>
      <c r="M120">
        <v>1050</v>
      </c>
    </row>
    <row r="121" spans="1:13" x14ac:dyDescent="0.25">
      <c r="A121" t="s">
        <v>266</v>
      </c>
      <c r="B121" t="s">
        <v>178</v>
      </c>
      <c r="C121" t="s">
        <v>27</v>
      </c>
      <c r="D121" t="s">
        <v>37</v>
      </c>
      <c r="E121" t="s">
        <v>34</v>
      </c>
      <c r="F121">
        <v>2</v>
      </c>
      <c r="G121">
        <v>3000</v>
      </c>
      <c r="H121" s="1">
        <v>45719</v>
      </c>
      <c r="I121" t="s">
        <v>38</v>
      </c>
      <c r="J121" t="s">
        <v>24</v>
      </c>
      <c r="K121">
        <v>1900</v>
      </c>
      <c r="L121">
        <v>6000</v>
      </c>
      <c r="M121">
        <v>2200</v>
      </c>
    </row>
    <row r="122" spans="1:13" x14ac:dyDescent="0.25">
      <c r="A122" t="s">
        <v>267</v>
      </c>
      <c r="B122" t="s">
        <v>241</v>
      </c>
      <c r="C122" t="s">
        <v>84</v>
      </c>
      <c r="D122" t="s">
        <v>52</v>
      </c>
      <c r="E122" t="s">
        <v>53</v>
      </c>
      <c r="F122">
        <v>2</v>
      </c>
      <c r="G122">
        <v>700</v>
      </c>
      <c r="H122" s="1">
        <v>45756</v>
      </c>
      <c r="I122" t="s">
        <v>35</v>
      </c>
      <c r="J122" t="s">
        <v>39</v>
      </c>
      <c r="K122">
        <v>350</v>
      </c>
      <c r="L122">
        <v>1400</v>
      </c>
      <c r="M122">
        <v>700</v>
      </c>
    </row>
    <row r="123" spans="1:13" x14ac:dyDescent="0.25">
      <c r="A123" t="s">
        <v>268</v>
      </c>
      <c r="B123" t="s">
        <v>60</v>
      </c>
      <c r="C123" t="s">
        <v>61</v>
      </c>
      <c r="D123" t="s">
        <v>97</v>
      </c>
      <c r="E123" t="s">
        <v>53</v>
      </c>
      <c r="F123">
        <v>5</v>
      </c>
      <c r="G123">
        <v>1000</v>
      </c>
      <c r="H123" s="1">
        <v>45802</v>
      </c>
      <c r="I123" t="s">
        <v>18</v>
      </c>
      <c r="J123" t="s">
        <v>39</v>
      </c>
      <c r="K123">
        <v>600</v>
      </c>
      <c r="L123">
        <v>5000</v>
      </c>
      <c r="M123">
        <v>2000</v>
      </c>
    </row>
    <row r="124" spans="1:13" x14ac:dyDescent="0.25">
      <c r="A124" t="s">
        <v>269</v>
      </c>
      <c r="B124" t="s">
        <v>153</v>
      </c>
      <c r="C124" t="s">
        <v>57</v>
      </c>
      <c r="D124" t="s">
        <v>115</v>
      </c>
      <c r="E124" t="s">
        <v>34</v>
      </c>
      <c r="F124">
        <v>3</v>
      </c>
      <c r="G124">
        <v>1800</v>
      </c>
      <c r="H124" s="1">
        <v>45749</v>
      </c>
      <c r="I124" t="s">
        <v>23</v>
      </c>
      <c r="J124" t="s">
        <v>29</v>
      </c>
      <c r="K124">
        <v>1100</v>
      </c>
      <c r="L124">
        <v>5400</v>
      </c>
      <c r="M124">
        <v>2100</v>
      </c>
    </row>
    <row r="125" spans="1:13" x14ac:dyDescent="0.25">
      <c r="A125" t="s">
        <v>270</v>
      </c>
      <c r="B125" t="s">
        <v>271</v>
      </c>
      <c r="C125" t="s">
        <v>121</v>
      </c>
      <c r="D125" t="s">
        <v>43</v>
      </c>
      <c r="E125" t="s">
        <v>17</v>
      </c>
      <c r="F125">
        <v>3</v>
      </c>
      <c r="G125">
        <v>1800</v>
      </c>
      <c r="H125" s="1">
        <v>45681</v>
      </c>
      <c r="I125" t="s">
        <v>54</v>
      </c>
      <c r="J125" t="s">
        <v>19</v>
      </c>
      <c r="K125">
        <v>1100</v>
      </c>
      <c r="L125">
        <v>5400</v>
      </c>
      <c r="M125">
        <v>2100</v>
      </c>
    </row>
    <row r="126" spans="1:13" x14ac:dyDescent="0.25">
      <c r="A126" t="s">
        <v>272</v>
      </c>
      <c r="B126" t="s">
        <v>273</v>
      </c>
      <c r="C126" t="s">
        <v>42</v>
      </c>
      <c r="D126" t="s">
        <v>105</v>
      </c>
      <c r="E126" t="s">
        <v>53</v>
      </c>
      <c r="F126">
        <v>1</v>
      </c>
      <c r="G126">
        <v>1200</v>
      </c>
      <c r="H126" s="1">
        <v>45664</v>
      </c>
      <c r="I126" t="s">
        <v>54</v>
      </c>
      <c r="J126" t="s">
        <v>45</v>
      </c>
      <c r="K126">
        <v>700</v>
      </c>
      <c r="L126">
        <v>1200</v>
      </c>
      <c r="M126">
        <v>500</v>
      </c>
    </row>
    <row r="127" spans="1:13" x14ac:dyDescent="0.25">
      <c r="A127" t="s">
        <v>274</v>
      </c>
      <c r="B127" t="s">
        <v>275</v>
      </c>
      <c r="C127" t="s">
        <v>48</v>
      </c>
      <c r="D127" t="s">
        <v>105</v>
      </c>
      <c r="E127" t="s">
        <v>53</v>
      </c>
      <c r="F127">
        <v>4</v>
      </c>
      <c r="G127">
        <v>1200</v>
      </c>
      <c r="H127" s="1">
        <v>45832</v>
      </c>
      <c r="I127" t="s">
        <v>23</v>
      </c>
      <c r="J127" t="s">
        <v>39</v>
      </c>
      <c r="K127">
        <v>700</v>
      </c>
      <c r="L127">
        <v>4800</v>
      </c>
      <c r="M127">
        <v>2000</v>
      </c>
    </row>
    <row r="128" spans="1:13" x14ac:dyDescent="0.25">
      <c r="A128" t="s">
        <v>276</v>
      </c>
      <c r="B128" t="s">
        <v>107</v>
      </c>
      <c r="C128" t="s">
        <v>15</v>
      </c>
      <c r="D128" t="s">
        <v>105</v>
      </c>
      <c r="E128" t="s">
        <v>53</v>
      </c>
      <c r="F128">
        <v>1</v>
      </c>
      <c r="G128">
        <v>1200</v>
      </c>
      <c r="H128" s="1">
        <v>45691</v>
      </c>
      <c r="I128" t="s">
        <v>35</v>
      </c>
      <c r="J128" t="s">
        <v>24</v>
      </c>
      <c r="K128">
        <v>700</v>
      </c>
      <c r="L128">
        <v>1200</v>
      </c>
      <c r="M128">
        <v>500</v>
      </c>
    </row>
    <row r="129" spans="1:13" x14ac:dyDescent="0.25">
      <c r="A129" t="s">
        <v>277</v>
      </c>
      <c r="B129" t="s">
        <v>278</v>
      </c>
      <c r="C129" t="s">
        <v>124</v>
      </c>
      <c r="D129" t="s">
        <v>75</v>
      </c>
      <c r="E129" t="s">
        <v>17</v>
      </c>
      <c r="F129">
        <v>2</v>
      </c>
      <c r="G129">
        <v>22000</v>
      </c>
      <c r="H129" s="1">
        <v>45734</v>
      </c>
      <c r="I129" t="s">
        <v>54</v>
      </c>
      <c r="J129" t="s">
        <v>24</v>
      </c>
      <c r="K129">
        <v>17000</v>
      </c>
      <c r="L129">
        <v>44000</v>
      </c>
      <c r="M129">
        <v>10000</v>
      </c>
    </row>
    <row r="130" spans="1:13" x14ac:dyDescent="0.25">
      <c r="A130" t="s">
        <v>279</v>
      </c>
      <c r="B130" t="s">
        <v>280</v>
      </c>
      <c r="C130" t="s">
        <v>42</v>
      </c>
      <c r="D130" t="s">
        <v>115</v>
      </c>
      <c r="E130" t="s">
        <v>34</v>
      </c>
      <c r="F130">
        <v>1</v>
      </c>
      <c r="G130">
        <v>1800</v>
      </c>
      <c r="H130" s="1">
        <v>45943</v>
      </c>
      <c r="I130" t="s">
        <v>18</v>
      </c>
      <c r="J130" t="s">
        <v>29</v>
      </c>
      <c r="K130">
        <v>1100</v>
      </c>
      <c r="L130">
        <v>1800</v>
      </c>
      <c r="M130">
        <v>700</v>
      </c>
    </row>
    <row r="131" spans="1:13" x14ac:dyDescent="0.25">
      <c r="A131" t="s">
        <v>281</v>
      </c>
      <c r="B131" t="s">
        <v>282</v>
      </c>
      <c r="C131" t="s">
        <v>32</v>
      </c>
      <c r="D131" t="s">
        <v>78</v>
      </c>
      <c r="E131" t="s">
        <v>53</v>
      </c>
      <c r="F131">
        <v>4</v>
      </c>
      <c r="G131">
        <v>4500</v>
      </c>
      <c r="H131" s="1">
        <v>45884</v>
      </c>
      <c r="I131" t="s">
        <v>63</v>
      </c>
      <c r="J131" t="s">
        <v>39</v>
      </c>
      <c r="K131">
        <v>2900</v>
      </c>
      <c r="L131">
        <v>18000</v>
      </c>
      <c r="M131">
        <v>6400</v>
      </c>
    </row>
    <row r="132" spans="1:13" x14ac:dyDescent="0.25">
      <c r="A132" t="s">
        <v>283</v>
      </c>
      <c r="B132" t="s">
        <v>169</v>
      </c>
      <c r="C132" t="s">
        <v>121</v>
      </c>
      <c r="D132" t="s">
        <v>75</v>
      </c>
      <c r="E132" t="s">
        <v>17</v>
      </c>
      <c r="F132">
        <v>5</v>
      </c>
      <c r="G132">
        <v>22000</v>
      </c>
      <c r="H132" s="1">
        <v>45708</v>
      </c>
      <c r="I132" t="s">
        <v>18</v>
      </c>
      <c r="J132" t="s">
        <v>39</v>
      </c>
      <c r="K132">
        <v>17000</v>
      </c>
      <c r="L132">
        <v>110000</v>
      </c>
      <c r="M132">
        <v>25000</v>
      </c>
    </row>
    <row r="133" spans="1:13" x14ac:dyDescent="0.25">
      <c r="A133" t="s">
        <v>284</v>
      </c>
      <c r="B133" t="s">
        <v>196</v>
      </c>
      <c r="C133" t="s">
        <v>124</v>
      </c>
      <c r="D133" t="s">
        <v>28</v>
      </c>
      <c r="E133" t="s">
        <v>17</v>
      </c>
      <c r="F133">
        <v>2</v>
      </c>
      <c r="G133">
        <v>2500</v>
      </c>
      <c r="H133" s="1">
        <v>45780</v>
      </c>
      <c r="I133" t="s">
        <v>44</v>
      </c>
      <c r="J133" t="s">
        <v>19</v>
      </c>
      <c r="K133">
        <v>1500</v>
      </c>
      <c r="L133">
        <v>5000</v>
      </c>
      <c r="M133">
        <v>2000</v>
      </c>
    </row>
    <row r="134" spans="1:13" x14ac:dyDescent="0.25">
      <c r="A134" t="s">
        <v>285</v>
      </c>
      <c r="B134" t="s">
        <v>286</v>
      </c>
      <c r="C134" t="s">
        <v>51</v>
      </c>
      <c r="D134" t="s">
        <v>92</v>
      </c>
      <c r="E134" t="s">
        <v>17</v>
      </c>
      <c r="F134">
        <v>4</v>
      </c>
      <c r="G134">
        <v>55000</v>
      </c>
      <c r="H134" s="1">
        <v>45888</v>
      </c>
      <c r="I134" t="s">
        <v>54</v>
      </c>
      <c r="J134" t="s">
        <v>24</v>
      </c>
      <c r="K134">
        <v>42000</v>
      </c>
      <c r="L134">
        <v>220000</v>
      </c>
      <c r="M134">
        <v>52000</v>
      </c>
    </row>
    <row r="135" spans="1:13" x14ac:dyDescent="0.25">
      <c r="A135" t="s">
        <v>287</v>
      </c>
      <c r="B135" t="s">
        <v>156</v>
      </c>
      <c r="C135" t="s">
        <v>157</v>
      </c>
      <c r="D135" t="s">
        <v>115</v>
      </c>
      <c r="E135" t="s">
        <v>34</v>
      </c>
      <c r="F135">
        <v>3</v>
      </c>
      <c r="G135">
        <v>1800</v>
      </c>
      <c r="H135" s="1">
        <v>46019</v>
      </c>
      <c r="I135" t="s">
        <v>35</v>
      </c>
      <c r="J135" t="s">
        <v>24</v>
      </c>
      <c r="K135">
        <v>1100</v>
      </c>
      <c r="L135">
        <v>5400</v>
      </c>
      <c r="M135">
        <v>2100</v>
      </c>
    </row>
    <row r="136" spans="1:13" x14ac:dyDescent="0.25">
      <c r="A136" t="s">
        <v>288</v>
      </c>
      <c r="B136" t="s">
        <v>289</v>
      </c>
      <c r="C136" t="s">
        <v>191</v>
      </c>
      <c r="D136" t="s">
        <v>115</v>
      </c>
      <c r="E136" t="s">
        <v>34</v>
      </c>
      <c r="F136">
        <v>3</v>
      </c>
      <c r="G136">
        <v>1800</v>
      </c>
      <c r="H136" s="1">
        <v>45978</v>
      </c>
      <c r="I136" t="s">
        <v>63</v>
      </c>
      <c r="J136" t="s">
        <v>24</v>
      </c>
      <c r="K136">
        <v>1100</v>
      </c>
      <c r="L136">
        <v>5400</v>
      </c>
      <c r="M136">
        <v>2100</v>
      </c>
    </row>
    <row r="137" spans="1:13" x14ac:dyDescent="0.25">
      <c r="A137" t="s">
        <v>290</v>
      </c>
      <c r="B137" t="s">
        <v>165</v>
      </c>
      <c r="C137" t="s">
        <v>133</v>
      </c>
      <c r="D137" t="s">
        <v>52</v>
      </c>
      <c r="E137" t="s">
        <v>53</v>
      </c>
      <c r="F137">
        <v>2</v>
      </c>
      <c r="G137">
        <v>700</v>
      </c>
      <c r="H137" s="1">
        <v>45989</v>
      </c>
      <c r="I137" t="s">
        <v>54</v>
      </c>
      <c r="J137" t="s">
        <v>19</v>
      </c>
      <c r="K137">
        <v>350</v>
      </c>
      <c r="L137">
        <v>1400</v>
      </c>
      <c r="M137">
        <v>700</v>
      </c>
    </row>
    <row r="138" spans="1:13" x14ac:dyDescent="0.25">
      <c r="A138" t="s">
        <v>291</v>
      </c>
      <c r="B138" t="s">
        <v>292</v>
      </c>
      <c r="C138" t="s">
        <v>133</v>
      </c>
      <c r="D138" t="s">
        <v>28</v>
      </c>
      <c r="E138" t="s">
        <v>17</v>
      </c>
      <c r="F138">
        <v>1</v>
      </c>
      <c r="G138">
        <v>2500</v>
      </c>
      <c r="H138" s="1">
        <v>45742</v>
      </c>
      <c r="I138" t="s">
        <v>54</v>
      </c>
      <c r="J138" t="s">
        <v>45</v>
      </c>
      <c r="K138">
        <v>1500</v>
      </c>
      <c r="L138">
        <v>2500</v>
      </c>
      <c r="M138">
        <v>1000</v>
      </c>
    </row>
    <row r="139" spans="1:13" x14ac:dyDescent="0.25">
      <c r="A139" t="s">
        <v>293</v>
      </c>
      <c r="B139" t="s">
        <v>153</v>
      </c>
      <c r="C139" t="s">
        <v>57</v>
      </c>
      <c r="D139" t="s">
        <v>16</v>
      </c>
      <c r="E139" t="s">
        <v>17</v>
      </c>
      <c r="F139">
        <v>4</v>
      </c>
      <c r="G139">
        <v>5000</v>
      </c>
      <c r="H139" s="1">
        <v>46010</v>
      </c>
      <c r="I139" t="s">
        <v>63</v>
      </c>
      <c r="J139" t="s">
        <v>39</v>
      </c>
      <c r="K139">
        <v>3200</v>
      </c>
      <c r="L139">
        <v>20000</v>
      </c>
      <c r="M139">
        <v>7200</v>
      </c>
    </row>
    <row r="140" spans="1:13" x14ac:dyDescent="0.25">
      <c r="A140" t="s">
        <v>294</v>
      </c>
      <c r="B140" t="s">
        <v>295</v>
      </c>
      <c r="C140" t="s">
        <v>157</v>
      </c>
      <c r="D140" t="s">
        <v>97</v>
      </c>
      <c r="E140" t="s">
        <v>53</v>
      </c>
      <c r="F140">
        <v>5</v>
      </c>
      <c r="G140">
        <v>1000</v>
      </c>
      <c r="H140" s="1">
        <v>45910</v>
      </c>
      <c r="I140" t="s">
        <v>44</v>
      </c>
      <c r="J140" t="s">
        <v>29</v>
      </c>
      <c r="K140">
        <v>600</v>
      </c>
      <c r="L140">
        <v>5000</v>
      </c>
      <c r="M140">
        <v>2000</v>
      </c>
    </row>
    <row r="141" spans="1:13" x14ac:dyDescent="0.25">
      <c r="A141" t="s">
        <v>296</v>
      </c>
      <c r="B141" t="s">
        <v>297</v>
      </c>
      <c r="C141" t="s">
        <v>124</v>
      </c>
      <c r="D141" t="s">
        <v>75</v>
      </c>
      <c r="E141" t="s">
        <v>17</v>
      </c>
      <c r="F141">
        <v>4</v>
      </c>
      <c r="G141">
        <v>22000</v>
      </c>
      <c r="H141" s="1">
        <v>45823</v>
      </c>
      <c r="I141" t="s">
        <v>23</v>
      </c>
      <c r="J141" t="s">
        <v>24</v>
      </c>
      <c r="K141">
        <v>17000</v>
      </c>
      <c r="L141">
        <v>88000</v>
      </c>
      <c r="M141">
        <v>20000</v>
      </c>
    </row>
    <row r="142" spans="1:13" x14ac:dyDescent="0.25">
      <c r="A142" t="s">
        <v>298</v>
      </c>
      <c r="B142" t="s">
        <v>299</v>
      </c>
      <c r="C142" t="s">
        <v>61</v>
      </c>
      <c r="D142" t="s">
        <v>115</v>
      </c>
      <c r="E142" t="s">
        <v>34</v>
      </c>
      <c r="F142">
        <v>5</v>
      </c>
      <c r="G142">
        <v>1800</v>
      </c>
      <c r="H142" s="1">
        <v>45958</v>
      </c>
      <c r="I142" t="s">
        <v>54</v>
      </c>
      <c r="J142" t="s">
        <v>29</v>
      </c>
      <c r="K142">
        <v>1100</v>
      </c>
      <c r="L142">
        <v>9000</v>
      </c>
      <c r="M142">
        <v>3500</v>
      </c>
    </row>
    <row r="143" spans="1:13" x14ac:dyDescent="0.25">
      <c r="A143" t="s">
        <v>300</v>
      </c>
      <c r="B143" t="s">
        <v>210</v>
      </c>
      <c r="C143" t="s">
        <v>157</v>
      </c>
      <c r="D143" t="s">
        <v>75</v>
      </c>
      <c r="E143" t="s">
        <v>17</v>
      </c>
      <c r="F143">
        <v>2</v>
      </c>
      <c r="G143">
        <v>22000</v>
      </c>
      <c r="H143" s="1">
        <v>45898</v>
      </c>
      <c r="I143" t="s">
        <v>35</v>
      </c>
      <c r="J143" t="s">
        <v>39</v>
      </c>
      <c r="K143">
        <v>17000</v>
      </c>
      <c r="L143">
        <v>44000</v>
      </c>
      <c r="M143">
        <v>10000</v>
      </c>
    </row>
    <row r="144" spans="1:13" x14ac:dyDescent="0.25">
      <c r="A144" t="s">
        <v>301</v>
      </c>
      <c r="B144" t="s">
        <v>159</v>
      </c>
      <c r="C144" t="s">
        <v>61</v>
      </c>
      <c r="D144" t="s">
        <v>173</v>
      </c>
      <c r="E144" t="s">
        <v>17</v>
      </c>
      <c r="F144">
        <v>5</v>
      </c>
      <c r="G144">
        <v>900</v>
      </c>
      <c r="H144" s="1">
        <v>45881</v>
      </c>
      <c r="I144" t="s">
        <v>44</v>
      </c>
      <c r="J144" t="s">
        <v>45</v>
      </c>
      <c r="K144">
        <v>500</v>
      </c>
      <c r="L144">
        <v>4500</v>
      </c>
      <c r="M144">
        <v>2000</v>
      </c>
    </row>
    <row r="145" spans="1:13" x14ac:dyDescent="0.25">
      <c r="A145" t="s">
        <v>302</v>
      </c>
      <c r="B145" t="s">
        <v>99</v>
      </c>
      <c r="C145" t="s">
        <v>15</v>
      </c>
      <c r="D145" t="s">
        <v>58</v>
      </c>
      <c r="E145" t="s">
        <v>34</v>
      </c>
      <c r="F145">
        <v>4</v>
      </c>
      <c r="G145">
        <v>2500</v>
      </c>
      <c r="H145" s="1">
        <v>45828</v>
      </c>
      <c r="I145" t="s">
        <v>44</v>
      </c>
      <c r="J145" t="s">
        <v>19</v>
      </c>
      <c r="K145">
        <v>1600</v>
      </c>
      <c r="L145">
        <v>10000</v>
      </c>
      <c r="M145">
        <v>3600</v>
      </c>
    </row>
    <row r="146" spans="1:13" x14ac:dyDescent="0.25">
      <c r="A146" t="s">
        <v>303</v>
      </c>
      <c r="B146" t="s">
        <v>304</v>
      </c>
      <c r="C146" t="s">
        <v>42</v>
      </c>
      <c r="D146" t="s">
        <v>112</v>
      </c>
      <c r="E146" t="s">
        <v>34</v>
      </c>
      <c r="F146">
        <v>4</v>
      </c>
      <c r="G146">
        <v>1500</v>
      </c>
      <c r="H146" s="1">
        <v>46013</v>
      </c>
      <c r="I146" t="s">
        <v>54</v>
      </c>
      <c r="J146" t="s">
        <v>45</v>
      </c>
      <c r="K146">
        <v>900</v>
      </c>
      <c r="L146">
        <v>6000</v>
      </c>
      <c r="M146">
        <v>2400</v>
      </c>
    </row>
    <row r="147" spans="1:13" x14ac:dyDescent="0.25">
      <c r="A147" t="s">
        <v>305</v>
      </c>
      <c r="B147" t="s">
        <v>306</v>
      </c>
      <c r="C147" t="s">
        <v>15</v>
      </c>
      <c r="D147" t="s">
        <v>52</v>
      </c>
      <c r="E147" t="s">
        <v>53</v>
      </c>
      <c r="F147">
        <v>1</v>
      </c>
      <c r="G147">
        <v>700</v>
      </c>
      <c r="H147" s="1">
        <v>45890</v>
      </c>
      <c r="I147" t="s">
        <v>38</v>
      </c>
      <c r="J147" t="s">
        <v>39</v>
      </c>
      <c r="K147">
        <v>350</v>
      </c>
      <c r="L147">
        <v>700</v>
      </c>
      <c r="M147">
        <v>350</v>
      </c>
    </row>
    <row r="148" spans="1:13" x14ac:dyDescent="0.25">
      <c r="A148" t="s">
        <v>307</v>
      </c>
      <c r="B148" t="s">
        <v>117</v>
      </c>
      <c r="C148" t="s">
        <v>118</v>
      </c>
      <c r="D148" t="s">
        <v>112</v>
      </c>
      <c r="E148" t="s">
        <v>34</v>
      </c>
      <c r="F148">
        <v>1</v>
      </c>
      <c r="G148">
        <v>1500</v>
      </c>
      <c r="H148" s="1">
        <v>45864</v>
      </c>
      <c r="I148" t="s">
        <v>23</v>
      </c>
      <c r="J148" t="s">
        <v>29</v>
      </c>
      <c r="K148">
        <v>900</v>
      </c>
      <c r="L148">
        <v>1500</v>
      </c>
      <c r="M148">
        <v>600</v>
      </c>
    </row>
    <row r="149" spans="1:13" x14ac:dyDescent="0.25">
      <c r="A149" t="s">
        <v>308</v>
      </c>
      <c r="B149" t="s">
        <v>309</v>
      </c>
      <c r="C149" t="s">
        <v>22</v>
      </c>
      <c r="D149" t="s">
        <v>67</v>
      </c>
      <c r="E149" t="s">
        <v>53</v>
      </c>
      <c r="F149">
        <v>4</v>
      </c>
      <c r="G149">
        <v>2800</v>
      </c>
      <c r="H149" s="1">
        <v>45685</v>
      </c>
      <c r="I149" t="s">
        <v>38</v>
      </c>
      <c r="J149" t="s">
        <v>29</v>
      </c>
      <c r="K149">
        <v>1800</v>
      </c>
      <c r="L149">
        <v>11200</v>
      </c>
      <c r="M149">
        <v>4000</v>
      </c>
    </row>
    <row r="150" spans="1:13" x14ac:dyDescent="0.25">
      <c r="A150" t="s">
        <v>310</v>
      </c>
      <c r="B150" t="s">
        <v>311</v>
      </c>
      <c r="C150" t="s">
        <v>157</v>
      </c>
      <c r="D150" t="s">
        <v>105</v>
      </c>
      <c r="E150" t="s">
        <v>53</v>
      </c>
      <c r="F150">
        <v>4</v>
      </c>
      <c r="G150">
        <v>1200</v>
      </c>
      <c r="H150" s="1">
        <v>45684</v>
      </c>
      <c r="I150" t="s">
        <v>54</v>
      </c>
      <c r="J150" t="s">
        <v>29</v>
      </c>
      <c r="K150">
        <v>700</v>
      </c>
      <c r="L150">
        <v>4800</v>
      </c>
      <c r="M150">
        <v>2000</v>
      </c>
    </row>
    <row r="151" spans="1:13" x14ac:dyDescent="0.25">
      <c r="A151" t="s">
        <v>312</v>
      </c>
      <c r="B151" t="s">
        <v>135</v>
      </c>
      <c r="C151" t="s">
        <v>124</v>
      </c>
      <c r="D151" t="s">
        <v>43</v>
      </c>
      <c r="E151" t="s">
        <v>17</v>
      </c>
      <c r="F151">
        <v>3</v>
      </c>
      <c r="G151">
        <v>1800</v>
      </c>
      <c r="H151" s="1">
        <v>45882</v>
      </c>
      <c r="I151" t="s">
        <v>44</v>
      </c>
      <c r="J151" t="s">
        <v>24</v>
      </c>
      <c r="K151">
        <v>1100</v>
      </c>
      <c r="L151">
        <v>5400</v>
      </c>
      <c r="M151">
        <v>2100</v>
      </c>
    </row>
    <row r="152" spans="1:13" x14ac:dyDescent="0.25">
      <c r="A152" t="s">
        <v>313</v>
      </c>
      <c r="B152" t="s">
        <v>111</v>
      </c>
      <c r="C152" t="s">
        <v>102</v>
      </c>
      <c r="D152" t="s">
        <v>115</v>
      </c>
      <c r="E152" t="s">
        <v>34</v>
      </c>
      <c r="F152">
        <v>2</v>
      </c>
      <c r="G152">
        <v>1800</v>
      </c>
      <c r="H152" s="1">
        <v>45817</v>
      </c>
      <c r="I152" t="s">
        <v>23</v>
      </c>
      <c r="J152" t="s">
        <v>29</v>
      </c>
      <c r="K152">
        <v>1100</v>
      </c>
      <c r="L152">
        <v>3600</v>
      </c>
      <c r="M152">
        <v>1400</v>
      </c>
    </row>
    <row r="153" spans="1:13" x14ac:dyDescent="0.25">
      <c r="A153" t="s">
        <v>314</v>
      </c>
      <c r="B153" t="s">
        <v>186</v>
      </c>
      <c r="C153" t="s">
        <v>27</v>
      </c>
      <c r="D153" t="s">
        <v>187</v>
      </c>
      <c r="E153" t="s">
        <v>53</v>
      </c>
      <c r="F153">
        <v>1</v>
      </c>
      <c r="G153">
        <v>3500</v>
      </c>
      <c r="H153" s="1">
        <v>45773</v>
      </c>
      <c r="I153" t="s">
        <v>35</v>
      </c>
      <c r="J153" t="s">
        <v>24</v>
      </c>
      <c r="K153">
        <v>2300</v>
      </c>
      <c r="L153">
        <v>3500</v>
      </c>
      <c r="M153">
        <v>1200</v>
      </c>
    </row>
    <row r="154" spans="1:13" x14ac:dyDescent="0.25">
      <c r="A154" t="s">
        <v>315</v>
      </c>
      <c r="B154" t="s">
        <v>316</v>
      </c>
      <c r="C154" t="s">
        <v>191</v>
      </c>
      <c r="D154" t="s">
        <v>43</v>
      </c>
      <c r="E154" t="s">
        <v>17</v>
      </c>
      <c r="F154">
        <v>4</v>
      </c>
      <c r="G154">
        <v>1800</v>
      </c>
      <c r="H154" s="1">
        <v>45807</v>
      </c>
      <c r="I154" t="s">
        <v>54</v>
      </c>
      <c r="J154" t="s">
        <v>45</v>
      </c>
      <c r="K154">
        <v>1100</v>
      </c>
      <c r="L154">
        <v>7200</v>
      </c>
      <c r="M154">
        <v>2800</v>
      </c>
    </row>
    <row r="155" spans="1:13" x14ac:dyDescent="0.25">
      <c r="A155" t="s">
        <v>317</v>
      </c>
      <c r="B155" t="s">
        <v>212</v>
      </c>
      <c r="C155" t="s">
        <v>32</v>
      </c>
      <c r="D155" t="s">
        <v>105</v>
      </c>
      <c r="E155" t="s">
        <v>53</v>
      </c>
      <c r="F155">
        <v>4</v>
      </c>
      <c r="G155">
        <v>1200</v>
      </c>
      <c r="H155" s="1">
        <v>45782</v>
      </c>
      <c r="I155" t="s">
        <v>79</v>
      </c>
      <c r="J155" t="s">
        <v>45</v>
      </c>
      <c r="K155">
        <v>700</v>
      </c>
      <c r="L155">
        <v>4800</v>
      </c>
      <c r="M155">
        <v>2000</v>
      </c>
    </row>
    <row r="156" spans="1:13" x14ac:dyDescent="0.25">
      <c r="A156" t="s">
        <v>318</v>
      </c>
      <c r="B156" t="s">
        <v>319</v>
      </c>
      <c r="C156" t="s">
        <v>66</v>
      </c>
      <c r="D156" t="s">
        <v>33</v>
      </c>
      <c r="E156" t="s">
        <v>34</v>
      </c>
      <c r="F156">
        <v>5</v>
      </c>
      <c r="G156">
        <v>800</v>
      </c>
      <c r="H156" s="1">
        <v>45918</v>
      </c>
      <c r="I156" t="s">
        <v>44</v>
      </c>
      <c r="J156" t="s">
        <v>39</v>
      </c>
      <c r="K156">
        <v>450</v>
      </c>
      <c r="L156">
        <v>4000</v>
      </c>
      <c r="M156">
        <v>1750</v>
      </c>
    </row>
    <row r="157" spans="1:13" x14ac:dyDescent="0.25">
      <c r="A157" t="s">
        <v>320</v>
      </c>
      <c r="B157" t="s">
        <v>321</v>
      </c>
      <c r="C157" t="s">
        <v>22</v>
      </c>
      <c r="D157" t="s">
        <v>187</v>
      </c>
      <c r="E157" t="s">
        <v>53</v>
      </c>
      <c r="F157">
        <v>3</v>
      </c>
      <c r="G157">
        <v>3500</v>
      </c>
      <c r="H157" s="1">
        <v>45917</v>
      </c>
      <c r="I157" t="s">
        <v>23</v>
      </c>
      <c r="J157" t="s">
        <v>39</v>
      </c>
      <c r="K157">
        <v>2300</v>
      </c>
      <c r="L157">
        <v>10500</v>
      </c>
      <c r="M157">
        <v>3600</v>
      </c>
    </row>
    <row r="158" spans="1:13" x14ac:dyDescent="0.25">
      <c r="A158" t="s">
        <v>322</v>
      </c>
      <c r="B158" t="s">
        <v>159</v>
      </c>
      <c r="C158" t="s">
        <v>61</v>
      </c>
      <c r="D158" t="s">
        <v>62</v>
      </c>
      <c r="E158" t="s">
        <v>34</v>
      </c>
      <c r="F158">
        <v>5</v>
      </c>
      <c r="G158">
        <v>2200</v>
      </c>
      <c r="H158" s="1">
        <v>45954</v>
      </c>
      <c r="I158" t="s">
        <v>79</v>
      </c>
      <c r="J158" t="s">
        <v>45</v>
      </c>
      <c r="K158">
        <v>1400</v>
      </c>
      <c r="L158">
        <v>11000</v>
      </c>
      <c r="M158">
        <v>4000</v>
      </c>
    </row>
    <row r="159" spans="1:13" x14ac:dyDescent="0.25">
      <c r="A159" t="s">
        <v>323</v>
      </c>
      <c r="B159" t="s">
        <v>324</v>
      </c>
      <c r="C159" t="s">
        <v>61</v>
      </c>
      <c r="D159" t="s">
        <v>52</v>
      </c>
      <c r="E159" t="s">
        <v>53</v>
      </c>
      <c r="F159">
        <v>4</v>
      </c>
      <c r="G159">
        <v>700</v>
      </c>
      <c r="H159" s="1">
        <v>45834</v>
      </c>
      <c r="I159" t="s">
        <v>63</v>
      </c>
      <c r="J159" t="s">
        <v>45</v>
      </c>
      <c r="K159">
        <v>350</v>
      </c>
      <c r="L159">
        <v>2800</v>
      </c>
      <c r="M159">
        <v>1400</v>
      </c>
    </row>
    <row r="160" spans="1:13" x14ac:dyDescent="0.25">
      <c r="A160" t="s">
        <v>325</v>
      </c>
      <c r="B160" t="s">
        <v>101</v>
      </c>
      <c r="C160" t="s">
        <v>102</v>
      </c>
      <c r="D160" t="s">
        <v>112</v>
      </c>
      <c r="E160" t="s">
        <v>34</v>
      </c>
      <c r="F160">
        <v>2</v>
      </c>
      <c r="G160">
        <v>1500</v>
      </c>
      <c r="H160" s="1">
        <v>46015</v>
      </c>
      <c r="I160" t="s">
        <v>63</v>
      </c>
      <c r="J160" t="s">
        <v>19</v>
      </c>
      <c r="K160">
        <v>900</v>
      </c>
      <c r="L160">
        <v>3000</v>
      </c>
      <c r="M160">
        <v>1200</v>
      </c>
    </row>
    <row r="161" spans="1:13" x14ac:dyDescent="0.25">
      <c r="A161" t="s">
        <v>326</v>
      </c>
      <c r="B161" t="s">
        <v>262</v>
      </c>
      <c r="C161" t="s">
        <v>102</v>
      </c>
      <c r="D161" t="s">
        <v>187</v>
      </c>
      <c r="E161" t="s">
        <v>53</v>
      </c>
      <c r="F161">
        <v>1</v>
      </c>
      <c r="G161">
        <v>3500</v>
      </c>
      <c r="H161" s="1">
        <v>45820</v>
      </c>
      <c r="I161" t="s">
        <v>63</v>
      </c>
      <c r="J161" t="s">
        <v>45</v>
      </c>
      <c r="K161">
        <v>2300</v>
      </c>
      <c r="L161">
        <v>3500</v>
      </c>
      <c r="M161">
        <v>1200</v>
      </c>
    </row>
    <row r="162" spans="1:13" x14ac:dyDescent="0.25">
      <c r="A162" t="s">
        <v>327</v>
      </c>
      <c r="B162" t="s">
        <v>167</v>
      </c>
      <c r="C162" t="s">
        <v>157</v>
      </c>
      <c r="D162" t="s">
        <v>43</v>
      </c>
      <c r="E162" t="s">
        <v>17</v>
      </c>
      <c r="F162">
        <v>4</v>
      </c>
      <c r="G162">
        <v>1800</v>
      </c>
      <c r="H162" s="1">
        <v>45676</v>
      </c>
      <c r="I162" t="s">
        <v>38</v>
      </c>
      <c r="J162" t="s">
        <v>24</v>
      </c>
      <c r="K162">
        <v>1100</v>
      </c>
      <c r="L162">
        <v>7200</v>
      </c>
      <c r="M162">
        <v>2800</v>
      </c>
    </row>
    <row r="163" spans="1:13" x14ac:dyDescent="0.25">
      <c r="A163" t="s">
        <v>328</v>
      </c>
      <c r="B163" t="s">
        <v>212</v>
      </c>
      <c r="C163" t="s">
        <v>32</v>
      </c>
      <c r="D163" t="s">
        <v>67</v>
      </c>
      <c r="E163" t="s">
        <v>53</v>
      </c>
      <c r="F163">
        <v>1</v>
      </c>
      <c r="G163">
        <v>2800</v>
      </c>
      <c r="H163" s="1">
        <v>45927</v>
      </c>
      <c r="I163" t="s">
        <v>23</v>
      </c>
      <c r="J163" t="s">
        <v>19</v>
      </c>
      <c r="K163">
        <v>1800</v>
      </c>
      <c r="L163">
        <v>2800</v>
      </c>
      <c r="M163">
        <v>1000</v>
      </c>
    </row>
    <row r="164" spans="1:13" x14ac:dyDescent="0.25">
      <c r="A164" t="s">
        <v>329</v>
      </c>
      <c r="B164" t="s">
        <v>286</v>
      </c>
      <c r="C164" t="s">
        <v>51</v>
      </c>
      <c r="D164" t="s">
        <v>187</v>
      </c>
      <c r="E164" t="s">
        <v>53</v>
      </c>
      <c r="F164">
        <v>2</v>
      </c>
      <c r="G164">
        <v>3500</v>
      </c>
      <c r="H164" s="1">
        <v>45696</v>
      </c>
      <c r="I164" t="s">
        <v>54</v>
      </c>
      <c r="J164" t="s">
        <v>39</v>
      </c>
      <c r="K164">
        <v>2300</v>
      </c>
      <c r="L164">
        <v>7000</v>
      </c>
      <c r="M164">
        <v>2400</v>
      </c>
    </row>
    <row r="165" spans="1:13" x14ac:dyDescent="0.25">
      <c r="A165" t="s">
        <v>330</v>
      </c>
      <c r="B165" t="s">
        <v>331</v>
      </c>
      <c r="C165" t="s">
        <v>32</v>
      </c>
      <c r="D165" t="s">
        <v>78</v>
      </c>
      <c r="E165" t="s">
        <v>53</v>
      </c>
      <c r="F165">
        <v>1</v>
      </c>
      <c r="G165">
        <v>4500</v>
      </c>
      <c r="H165" s="1">
        <v>45826</v>
      </c>
      <c r="I165" t="s">
        <v>63</v>
      </c>
      <c r="J165" t="s">
        <v>39</v>
      </c>
      <c r="K165">
        <v>2900</v>
      </c>
      <c r="L165">
        <v>4500</v>
      </c>
      <c r="M165">
        <v>1600</v>
      </c>
    </row>
    <row r="166" spans="1:13" x14ac:dyDescent="0.25">
      <c r="A166" t="s">
        <v>332</v>
      </c>
      <c r="B166" t="s">
        <v>56</v>
      </c>
      <c r="C166" t="s">
        <v>57</v>
      </c>
      <c r="D166" t="s">
        <v>105</v>
      </c>
      <c r="E166" t="s">
        <v>53</v>
      </c>
      <c r="F166">
        <v>5</v>
      </c>
      <c r="G166">
        <v>1200</v>
      </c>
      <c r="H166" s="1">
        <v>45676</v>
      </c>
      <c r="I166" t="s">
        <v>18</v>
      </c>
      <c r="J166" t="s">
        <v>39</v>
      </c>
      <c r="K166">
        <v>700</v>
      </c>
      <c r="L166">
        <v>6000</v>
      </c>
      <c r="M166">
        <v>2500</v>
      </c>
    </row>
    <row r="167" spans="1:13" x14ac:dyDescent="0.25">
      <c r="A167" t="s">
        <v>333</v>
      </c>
      <c r="B167" t="s">
        <v>60</v>
      </c>
      <c r="C167" t="s">
        <v>61</v>
      </c>
      <c r="D167" t="s">
        <v>115</v>
      </c>
      <c r="E167" t="s">
        <v>34</v>
      </c>
      <c r="F167">
        <v>1</v>
      </c>
      <c r="G167">
        <v>1800</v>
      </c>
      <c r="H167" s="1">
        <v>45880</v>
      </c>
      <c r="I167" t="s">
        <v>44</v>
      </c>
      <c r="J167" t="s">
        <v>45</v>
      </c>
      <c r="K167">
        <v>1100</v>
      </c>
      <c r="L167">
        <v>1800</v>
      </c>
      <c r="M167">
        <v>700</v>
      </c>
    </row>
    <row r="168" spans="1:13" x14ac:dyDescent="0.25">
      <c r="A168" t="s">
        <v>334</v>
      </c>
      <c r="B168" t="s">
        <v>161</v>
      </c>
      <c r="C168" t="s">
        <v>118</v>
      </c>
      <c r="D168" t="s">
        <v>173</v>
      </c>
      <c r="E168" t="s">
        <v>17</v>
      </c>
      <c r="F168">
        <v>3</v>
      </c>
      <c r="G168">
        <v>900</v>
      </c>
      <c r="H168" s="1">
        <v>45672</v>
      </c>
      <c r="I168" t="s">
        <v>38</v>
      </c>
      <c r="J168" t="s">
        <v>24</v>
      </c>
      <c r="K168">
        <v>500</v>
      </c>
      <c r="L168">
        <v>2700</v>
      </c>
      <c r="M168">
        <v>1200</v>
      </c>
    </row>
    <row r="169" spans="1:13" x14ac:dyDescent="0.25">
      <c r="A169" t="s">
        <v>335</v>
      </c>
      <c r="B169" t="s">
        <v>190</v>
      </c>
      <c r="C169" t="s">
        <v>191</v>
      </c>
      <c r="D169" t="s">
        <v>62</v>
      </c>
      <c r="E169" t="s">
        <v>34</v>
      </c>
      <c r="F169">
        <v>3</v>
      </c>
      <c r="G169">
        <v>2200</v>
      </c>
      <c r="H169" s="1">
        <v>45849</v>
      </c>
      <c r="I169" t="s">
        <v>79</v>
      </c>
      <c r="J169" t="s">
        <v>19</v>
      </c>
      <c r="K169">
        <v>1400</v>
      </c>
      <c r="L169">
        <v>6600</v>
      </c>
      <c r="M169">
        <v>2400</v>
      </c>
    </row>
    <row r="170" spans="1:13" x14ac:dyDescent="0.25">
      <c r="A170" t="s">
        <v>336</v>
      </c>
      <c r="B170" t="s">
        <v>257</v>
      </c>
      <c r="C170" t="s">
        <v>42</v>
      </c>
      <c r="D170" t="s">
        <v>97</v>
      </c>
      <c r="E170" t="s">
        <v>53</v>
      </c>
      <c r="F170">
        <v>4</v>
      </c>
      <c r="G170">
        <v>1000</v>
      </c>
      <c r="H170" s="1">
        <v>45947</v>
      </c>
      <c r="I170" t="s">
        <v>79</v>
      </c>
      <c r="J170" t="s">
        <v>19</v>
      </c>
      <c r="K170">
        <v>600</v>
      </c>
      <c r="L170">
        <v>4000</v>
      </c>
      <c r="M170">
        <v>1600</v>
      </c>
    </row>
    <row r="171" spans="1:13" x14ac:dyDescent="0.25">
      <c r="A171" t="s">
        <v>337</v>
      </c>
      <c r="B171" t="s">
        <v>101</v>
      </c>
      <c r="C171" t="s">
        <v>102</v>
      </c>
      <c r="D171" t="s">
        <v>28</v>
      </c>
      <c r="E171" t="s">
        <v>17</v>
      </c>
      <c r="F171">
        <v>5</v>
      </c>
      <c r="G171">
        <v>2500</v>
      </c>
      <c r="H171" s="1">
        <v>45853</v>
      </c>
      <c r="I171" t="s">
        <v>35</v>
      </c>
      <c r="J171" t="s">
        <v>29</v>
      </c>
      <c r="K171">
        <v>1500</v>
      </c>
      <c r="L171">
        <v>12500</v>
      </c>
      <c r="M171">
        <v>5000</v>
      </c>
    </row>
    <row r="172" spans="1:13" x14ac:dyDescent="0.25">
      <c r="A172" t="s">
        <v>338</v>
      </c>
      <c r="B172" t="s">
        <v>339</v>
      </c>
      <c r="C172" t="s">
        <v>61</v>
      </c>
      <c r="D172" t="s">
        <v>43</v>
      </c>
      <c r="E172" t="s">
        <v>17</v>
      </c>
      <c r="F172">
        <v>2</v>
      </c>
      <c r="G172">
        <v>1800</v>
      </c>
      <c r="H172" s="1">
        <v>45894</v>
      </c>
      <c r="I172" t="s">
        <v>35</v>
      </c>
      <c r="J172" t="s">
        <v>39</v>
      </c>
      <c r="K172">
        <v>1100</v>
      </c>
      <c r="L172">
        <v>3600</v>
      </c>
      <c r="M172">
        <v>1400</v>
      </c>
    </row>
    <row r="173" spans="1:13" x14ac:dyDescent="0.25">
      <c r="A173" t="s">
        <v>340</v>
      </c>
      <c r="B173" t="s">
        <v>341</v>
      </c>
      <c r="C173" t="s">
        <v>89</v>
      </c>
      <c r="D173" t="s">
        <v>92</v>
      </c>
      <c r="E173" t="s">
        <v>17</v>
      </c>
      <c r="F173">
        <v>4</v>
      </c>
      <c r="G173">
        <v>55000</v>
      </c>
      <c r="H173" s="1">
        <v>45805</v>
      </c>
      <c r="I173" t="s">
        <v>79</v>
      </c>
      <c r="J173" t="s">
        <v>24</v>
      </c>
      <c r="K173">
        <v>42000</v>
      </c>
      <c r="L173">
        <v>220000</v>
      </c>
      <c r="M173">
        <v>52000</v>
      </c>
    </row>
    <row r="174" spans="1:13" x14ac:dyDescent="0.25">
      <c r="A174" t="s">
        <v>342</v>
      </c>
      <c r="B174" t="s">
        <v>282</v>
      </c>
      <c r="C174" t="s">
        <v>32</v>
      </c>
      <c r="D174" t="s">
        <v>67</v>
      </c>
      <c r="E174" t="s">
        <v>53</v>
      </c>
      <c r="F174">
        <v>3</v>
      </c>
      <c r="G174">
        <v>2800</v>
      </c>
      <c r="H174" s="1">
        <v>45958</v>
      </c>
      <c r="I174" t="s">
        <v>63</v>
      </c>
      <c r="J174" t="s">
        <v>39</v>
      </c>
      <c r="K174">
        <v>1800</v>
      </c>
      <c r="L174">
        <v>8400</v>
      </c>
      <c r="M174">
        <v>3000</v>
      </c>
    </row>
    <row r="175" spans="1:13" x14ac:dyDescent="0.25">
      <c r="A175" t="s">
        <v>343</v>
      </c>
      <c r="B175" t="s">
        <v>344</v>
      </c>
      <c r="C175" t="s">
        <v>133</v>
      </c>
      <c r="D175" t="s">
        <v>67</v>
      </c>
      <c r="E175" t="s">
        <v>53</v>
      </c>
      <c r="F175">
        <v>3</v>
      </c>
      <c r="G175">
        <v>2800</v>
      </c>
      <c r="H175" s="1">
        <v>45759</v>
      </c>
      <c r="I175" t="s">
        <v>35</v>
      </c>
      <c r="J175" t="s">
        <v>24</v>
      </c>
      <c r="K175">
        <v>1800</v>
      </c>
      <c r="L175">
        <v>8400</v>
      </c>
      <c r="M175">
        <v>3000</v>
      </c>
    </row>
    <row r="176" spans="1:13" x14ac:dyDescent="0.25">
      <c r="A176" t="s">
        <v>345</v>
      </c>
      <c r="B176" t="s">
        <v>346</v>
      </c>
      <c r="C176" t="s">
        <v>118</v>
      </c>
      <c r="D176" t="s">
        <v>115</v>
      </c>
      <c r="E176" t="s">
        <v>34</v>
      </c>
      <c r="F176">
        <v>4</v>
      </c>
      <c r="G176">
        <v>1800</v>
      </c>
      <c r="H176" s="1">
        <v>45950</v>
      </c>
      <c r="I176" t="s">
        <v>54</v>
      </c>
      <c r="J176" t="s">
        <v>39</v>
      </c>
      <c r="K176">
        <v>1100</v>
      </c>
      <c r="L176">
        <v>7200</v>
      </c>
      <c r="M176">
        <v>2800</v>
      </c>
    </row>
    <row r="177" spans="1:13" x14ac:dyDescent="0.25">
      <c r="A177" t="s">
        <v>347</v>
      </c>
      <c r="B177" t="s">
        <v>348</v>
      </c>
      <c r="C177" t="s">
        <v>15</v>
      </c>
      <c r="D177" t="s">
        <v>92</v>
      </c>
      <c r="E177" t="s">
        <v>17</v>
      </c>
      <c r="F177">
        <v>4</v>
      </c>
      <c r="G177">
        <v>55000</v>
      </c>
      <c r="H177" s="1">
        <v>45798</v>
      </c>
      <c r="I177" t="s">
        <v>23</v>
      </c>
      <c r="J177" t="s">
        <v>29</v>
      </c>
      <c r="K177">
        <v>42000</v>
      </c>
      <c r="L177">
        <v>220000</v>
      </c>
      <c r="M177">
        <v>52000</v>
      </c>
    </row>
    <row r="178" spans="1:13" x14ac:dyDescent="0.25">
      <c r="A178" t="s">
        <v>349</v>
      </c>
      <c r="B178" t="s">
        <v>226</v>
      </c>
      <c r="C178" t="s">
        <v>191</v>
      </c>
      <c r="D178" t="s">
        <v>105</v>
      </c>
      <c r="E178" t="s">
        <v>53</v>
      </c>
      <c r="F178">
        <v>3</v>
      </c>
      <c r="G178">
        <v>1200</v>
      </c>
      <c r="H178" s="1">
        <v>45775</v>
      </c>
      <c r="I178" t="s">
        <v>18</v>
      </c>
      <c r="J178" t="s">
        <v>19</v>
      </c>
      <c r="K178">
        <v>700</v>
      </c>
      <c r="L178">
        <v>3600</v>
      </c>
      <c r="M178">
        <v>1500</v>
      </c>
    </row>
    <row r="179" spans="1:13" x14ac:dyDescent="0.25">
      <c r="A179" t="s">
        <v>350</v>
      </c>
      <c r="B179" t="s">
        <v>123</v>
      </c>
      <c r="C179" t="s">
        <v>124</v>
      </c>
      <c r="D179" t="s">
        <v>37</v>
      </c>
      <c r="E179" t="s">
        <v>34</v>
      </c>
      <c r="F179">
        <v>2</v>
      </c>
      <c r="G179">
        <v>3000</v>
      </c>
      <c r="H179" s="1">
        <v>45979</v>
      </c>
      <c r="I179" t="s">
        <v>23</v>
      </c>
      <c r="J179" t="s">
        <v>39</v>
      </c>
      <c r="K179">
        <v>1900</v>
      </c>
      <c r="L179">
        <v>6000</v>
      </c>
      <c r="M179">
        <v>2200</v>
      </c>
    </row>
    <row r="180" spans="1:13" x14ac:dyDescent="0.25">
      <c r="A180" t="s">
        <v>351</v>
      </c>
      <c r="B180" t="s">
        <v>352</v>
      </c>
      <c r="C180" t="s">
        <v>121</v>
      </c>
      <c r="D180" t="s">
        <v>67</v>
      </c>
      <c r="E180" t="s">
        <v>53</v>
      </c>
      <c r="F180">
        <v>1</v>
      </c>
      <c r="G180">
        <v>2800</v>
      </c>
      <c r="H180" s="1">
        <v>45954</v>
      </c>
      <c r="I180" t="s">
        <v>79</v>
      </c>
      <c r="J180" t="s">
        <v>24</v>
      </c>
      <c r="K180">
        <v>1800</v>
      </c>
      <c r="L180">
        <v>2800</v>
      </c>
      <c r="M180">
        <v>1000</v>
      </c>
    </row>
    <row r="181" spans="1:13" x14ac:dyDescent="0.25">
      <c r="A181" t="s">
        <v>353</v>
      </c>
      <c r="B181" t="s">
        <v>196</v>
      </c>
      <c r="C181" t="s">
        <v>124</v>
      </c>
      <c r="D181" t="s">
        <v>62</v>
      </c>
      <c r="E181" t="s">
        <v>34</v>
      </c>
      <c r="F181">
        <v>3</v>
      </c>
      <c r="G181">
        <v>2200</v>
      </c>
      <c r="H181" s="1">
        <v>45870</v>
      </c>
      <c r="I181" t="s">
        <v>18</v>
      </c>
      <c r="J181" t="s">
        <v>19</v>
      </c>
      <c r="K181">
        <v>1400</v>
      </c>
      <c r="L181">
        <v>6600</v>
      </c>
      <c r="M181">
        <v>2400</v>
      </c>
    </row>
    <row r="182" spans="1:13" x14ac:dyDescent="0.25">
      <c r="A182" t="s">
        <v>354</v>
      </c>
      <c r="B182" t="s">
        <v>355</v>
      </c>
      <c r="C182" t="s">
        <v>22</v>
      </c>
      <c r="D182" t="s">
        <v>52</v>
      </c>
      <c r="E182" t="s">
        <v>53</v>
      </c>
      <c r="F182">
        <v>3</v>
      </c>
      <c r="G182">
        <v>700</v>
      </c>
      <c r="H182" s="1">
        <v>45929</v>
      </c>
      <c r="I182" t="s">
        <v>54</v>
      </c>
      <c r="J182" t="s">
        <v>19</v>
      </c>
      <c r="K182">
        <v>350</v>
      </c>
      <c r="L182">
        <v>2100</v>
      </c>
      <c r="M182">
        <v>1050</v>
      </c>
    </row>
    <row r="183" spans="1:13" x14ac:dyDescent="0.25">
      <c r="A183" t="s">
        <v>356</v>
      </c>
      <c r="B183" t="s">
        <v>357</v>
      </c>
      <c r="C183" t="s">
        <v>42</v>
      </c>
      <c r="D183" t="s">
        <v>37</v>
      </c>
      <c r="E183" t="s">
        <v>34</v>
      </c>
      <c r="F183">
        <v>4</v>
      </c>
      <c r="G183">
        <v>3000</v>
      </c>
      <c r="H183" s="1">
        <v>45809</v>
      </c>
      <c r="I183" t="s">
        <v>44</v>
      </c>
      <c r="J183" t="s">
        <v>45</v>
      </c>
      <c r="K183">
        <v>1900</v>
      </c>
      <c r="L183">
        <v>12000</v>
      </c>
      <c r="M183">
        <v>4400</v>
      </c>
    </row>
    <row r="184" spans="1:13" x14ac:dyDescent="0.25">
      <c r="A184" t="s">
        <v>358</v>
      </c>
      <c r="B184" t="s">
        <v>359</v>
      </c>
      <c r="C184" t="s">
        <v>102</v>
      </c>
      <c r="D184" t="s">
        <v>28</v>
      </c>
      <c r="E184" t="s">
        <v>17</v>
      </c>
      <c r="F184">
        <v>2</v>
      </c>
      <c r="G184">
        <v>2500</v>
      </c>
      <c r="H184" s="1">
        <v>45773</v>
      </c>
      <c r="I184" t="s">
        <v>38</v>
      </c>
      <c r="J184" t="s">
        <v>24</v>
      </c>
      <c r="K184">
        <v>1500</v>
      </c>
      <c r="L184">
        <v>5000</v>
      </c>
      <c r="M184">
        <v>2000</v>
      </c>
    </row>
    <row r="185" spans="1:13" x14ac:dyDescent="0.25">
      <c r="A185" t="s">
        <v>360</v>
      </c>
      <c r="B185" t="s">
        <v>91</v>
      </c>
      <c r="C185" t="s">
        <v>57</v>
      </c>
      <c r="D185" t="s">
        <v>78</v>
      </c>
      <c r="E185" t="s">
        <v>53</v>
      </c>
      <c r="F185">
        <v>1</v>
      </c>
      <c r="G185">
        <v>4500</v>
      </c>
      <c r="H185" s="1">
        <v>45793</v>
      </c>
      <c r="I185" t="s">
        <v>44</v>
      </c>
      <c r="J185" t="s">
        <v>45</v>
      </c>
      <c r="K185">
        <v>2900</v>
      </c>
      <c r="L185">
        <v>4500</v>
      </c>
      <c r="M185">
        <v>1600</v>
      </c>
    </row>
    <row r="186" spans="1:13" x14ac:dyDescent="0.25">
      <c r="A186" t="s">
        <v>361</v>
      </c>
      <c r="B186" t="s">
        <v>137</v>
      </c>
      <c r="C186" t="s">
        <v>57</v>
      </c>
      <c r="D186" t="s">
        <v>58</v>
      </c>
      <c r="E186" t="s">
        <v>34</v>
      </c>
      <c r="F186">
        <v>3</v>
      </c>
      <c r="G186">
        <v>2500</v>
      </c>
      <c r="H186" s="1">
        <v>45957</v>
      </c>
      <c r="I186" t="s">
        <v>38</v>
      </c>
      <c r="J186" t="s">
        <v>24</v>
      </c>
      <c r="K186">
        <v>1600</v>
      </c>
      <c r="L186">
        <v>7500</v>
      </c>
      <c r="M186">
        <v>2700</v>
      </c>
    </row>
    <row r="187" spans="1:13" x14ac:dyDescent="0.25">
      <c r="A187" t="s">
        <v>362</v>
      </c>
      <c r="B187" t="s">
        <v>363</v>
      </c>
      <c r="C187" t="s">
        <v>70</v>
      </c>
      <c r="D187" t="s">
        <v>115</v>
      </c>
      <c r="E187" t="s">
        <v>34</v>
      </c>
      <c r="F187">
        <v>4</v>
      </c>
      <c r="G187">
        <v>1800</v>
      </c>
      <c r="H187" s="1">
        <v>45670</v>
      </c>
      <c r="I187" t="s">
        <v>38</v>
      </c>
      <c r="J187" t="s">
        <v>29</v>
      </c>
      <c r="K187">
        <v>1100</v>
      </c>
      <c r="L187">
        <v>7200</v>
      </c>
      <c r="M187">
        <v>2800</v>
      </c>
    </row>
    <row r="188" spans="1:13" x14ac:dyDescent="0.25">
      <c r="A188" t="s">
        <v>364</v>
      </c>
      <c r="B188" t="s">
        <v>255</v>
      </c>
      <c r="C188" t="s">
        <v>133</v>
      </c>
      <c r="D188" t="s">
        <v>115</v>
      </c>
      <c r="E188" t="s">
        <v>34</v>
      </c>
      <c r="F188">
        <v>1</v>
      </c>
      <c r="G188">
        <v>1800</v>
      </c>
      <c r="H188" s="1">
        <v>45983</v>
      </c>
      <c r="I188" t="s">
        <v>54</v>
      </c>
      <c r="J188" t="s">
        <v>45</v>
      </c>
      <c r="K188">
        <v>1100</v>
      </c>
      <c r="L188">
        <v>1800</v>
      </c>
      <c r="M188">
        <v>700</v>
      </c>
    </row>
    <row r="189" spans="1:13" x14ac:dyDescent="0.25">
      <c r="A189" t="s">
        <v>365</v>
      </c>
      <c r="B189" t="s">
        <v>366</v>
      </c>
      <c r="C189" t="s">
        <v>27</v>
      </c>
      <c r="D189" t="s">
        <v>16</v>
      </c>
      <c r="E189" t="s">
        <v>17</v>
      </c>
      <c r="F189">
        <v>2</v>
      </c>
      <c r="G189">
        <v>5000</v>
      </c>
      <c r="H189" s="1">
        <v>45681</v>
      </c>
      <c r="I189" t="s">
        <v>54</v>
      </c>
      <c r="J189" t="s">
        <v>45</v>
      </c>
      <c r="K189">
        <v>3200</v>
      </c>
      <c r="L189">
        <v>10000</v>
      </c>
      <c r="M189">
        <v>3600</v>
      </c>
    </row>
    <row r="190" spans="1:13" x14ac:dyDescent="0.25">
      <c r="A190" t="s">
        <v>367</v>
      </c>
      <c r="B190" t="s">
        <v>91</v>
      </c>
      <c r="C190" t="s">
        <v>57</v>
      </c>
      <c r="D190" t="s">
        <v>16</v>
      </c>
      <c r="E190" t="s">
        <v>17</v>
      </c>
      <c r="F190">
        <v>1</v>
      </c>
      <c r="G190">
        <v>5000</v>
      </c>
      <c r="H190" s="1">
        <v>45778</v>
      </c>
      <c r="I190" t="s">
        <v>79</v>
      </c>
      <c r="J190" t="s">
        <v>45</v>
      </c>
      <c r="K190">
        <v>3200</v>
      </c>
      <c r="L190">
        <v>5000</v>
      </c>
      <c r="M190">
        <v>1800</v>
      </c>
    </row>
    <row r="191" spans="1:13" x14ac:dyDescent="0.25">
      <c r="A191" t="s">
        <v>368</v>
      </c>
      <c r="B191" t="s">
        <v>132</v>
      </c>
      <c r="C191" t="s">
        <v>133</v>
      </c>
      <c r="D191" t="s">
        <v>67</v>
      </c>
      <c r="E191" t="s">
        <v>53</v>
      </c>
      <c r="F191">
        <v>3</v>
      </c>
      <c r="G191">
        <v>2800</v>
      </c>
      <c r="H191" s="1">
        <v>46001</v>
      </c>
      <c r="I191" t="s">
        <v>63</v>
      </c>
      <c r="J191" t="s">
        <v>29</v>
      </c>
      <c r="K191">
        <v>1800</v>
      </c>
      <c r="L191">
        <v>8400</v>
      </c>
      <c r="M191">
        <v>3000</v>
      </c>
    </row>
    <row r="192" spans="1:13" x14ac:dyDescent="0.25">
      <c r="A192" t="s">
        <v>369</v>
      </c>
      <c r="B192" t="s">
        <v>60</v>
      </c>
      <c r="C192" t="s">
        <v>61</v>
      </c>
      <c r="D192" t="s">
        <v>43</v>
      </c>
      <c r="E192" t="s">
        <v>17</v>
      </c>
      <c r="F192">
        <v>4</v>
      </c>
      <c r="G192">
        <v>1800</v>
      </c>
      <c r="H192" s="1">
        <v>45993</v>
      </c>
      <c r="I192" t="s">
        <v>35</v>
      </c>
      <c r="J192" t="s">
        <v>29</v>
      </c>
      <c r="K192">
        <v>1100</v>
      </c>
      <c r="L192">
        <v>7200</v>
      </c>
      <c r="M192">
        <v>2800</v>
      </c>
    </row>
    <row r="193" spans="1:13" x14ac:dyDescent="0.25">
      <c r="A193" t="s">
        <v>370</v>
      </c>
      <c r="B193" t="s">
        <v>65</v>
      </c>
      <c r="C193" t="s">
        <v>66</v>
      </c>
      <c r="D193" t="s">
        <v>187</v>
      </c>
      <c r="E193" t="s">
        <v>53</v>
      </c>
      <c r="F193">
        <v>3</v>
      </c>
      <c r="G193">
        <v>3500</v>
      </c>
      <c r="H193" s="1">
        <v>45674</v>
      </c>
      <c r="I193" t="s">
        <v>18</v>
      </c>
      <c r="J193" t="s">
        <v>45</v>
      </c>
      <c r="K193">
        <v>2300</v>
      </c>
      <c r="L193">
        <v>10500</v>
      </c>
      <c r="M193">
        <v>3600</v>
      </c>
    </row>
    <row r="194" spans="1:13" x14ac:dyDescent="0.25">
      <c r="A194" t="s">
        <v>371</v>
      </c>
      <c r="B194" t="s">
        <v>60</v>
      </c>
      <c r="C194" t="s">
        <v>61</v>
      </c>
      <c r="D194" t="s">
        <v>67</v>
      </c>
      <c r="E194" t="s">
        <v>53</v>
      </c>
      <c r="F194">
        <v>2</v>
      </c>
      <c r="G194">
        <v>2800</v>
      </c>
      <c r="H194" s="1">
        <v>45843</v>
      </c>
      <c r="I194" t="s">
        <v>38</v>
      </c>
      <c r="J194" t="s">
        <v>29</v>
      </c>
      <c r="K194">
        <v>1800</v>
      </c>
      <c r="L194">
        <v>5600</v>
      </c>
      <c r="M194">
        <v>2000</v>
      </c>
    </row>
    <row r="195" spans="1:13" x14ac:dyDescent="0.25">
      <c r="A195" t="s">
        <v>372</v>
      </c>
      <c r="B195" t="s">
        <v>218</v>
      </c>
      <c r="C195" t="s">
        <v>191</v>
      </c>
      <c r="D195" t="s">
        <v>58</v>
      </c>
      <c r="E195" t="s">
        <v>34</v>
      </c>
      <c r="F195">
        <v>1</v>
      </c>
      <c r="G195">
        <v>2500</v>
      </c>
      <c r="H195" s="1">
        <v>45861</v>
      </c>
      <c r="I195" t="s">
        <v>18</v>
      </c>
      <c r="J195" t="s">
        <v>24</v>
      </c>
      <c r="K195">
        <v>1600</v>
      </c>
      <c r="L195">
        <v>2500</v>
      </c>
      <c r="M195">
        <v>900</v>
      </c>
    </row>
    <row r="196" spans="1:13" x14ac:dyDescent="0.25">
      <c r="A196" t="s">
        <v>373</v>
      </c>
      <c r="B196" t="s">
        <v>150</v>
      </c>
      <c r="C196" t="s">
        <v>66</v>
      </c>
      <c r="D196" t="s">
        <v>67</v>
      </c>
      <c r="E196" t="s">
        <v>53</v>
      </c>
      <c r="F196">
        <v>1</v>
      </c>
      <c r="G196">
        <v>2800</v>
      </c>
      <c r="H196" s="1">
        <v>45997</v>
      </c>
      <c r="I196" t="s">
        <v>23</v>
      </c>
      <c r="J196" t="s">
        <v>24</v>
      </c>
      <c r="K196">
        <v>1800</v>
      </c>
      <c r="L196">
        <v>2800</v>
      </c>
      <c r="M196">
        <v>1000</v>
      </c>
    </row>
    <row r="197" spans="1:13" x14ac:dyDescent="0.25">
      <c r="A197" t="s">
        <v>374</v>
      </c>
      <c r="B197" t="s">
        <v>278</v>
      </c>
      <c r="C197" t="s">
        <v>124</v>
      </c>
      <c r="D197" t="s">
        <v>112</v>
      </c>
      <c r="E197" t="s">
        <v>34</v>
      </c>
      <c r="F197">
        <v>2</v>
      </c>
      <c r="G197">
        <v>1500</v>
      </c>
      <c r="H197" s="1">
        <v>45722</v>
      </c>
      <c r="I197" t="s">
        <v>18</v>
      </c>
      <c r="J197" t="s">
        <v>24</v>
      </c>
      <c r="K197">
        <v>900</v>
      </c>
      <c r="L197">
        <v>3000</v>
      </c>
      <c r="M197">
        <v>1200</v>
      </c>
    </row>
    <row r="198" spans="1:13" x14ac:dyDescent="0.25">
      <c r="A198" t="s">
        <v>375</v>
      </c>
      <c r="B198" t="s">
        <v>241</v>
      </c>
      <c r="C198" t="s">
        <v>84</v>
      </c>
      <c r="D198" t="s">
        <v>52</v>
      </c>
      <c r="E198" t="s">
        <v>53</v>
      </c>
      <c r="F198">
        <v>2</v>
      </c>
      <c r="G198">
        <v>700</v>
      </c>
      <c r="H198" s="1">
        <v>45958</v>
      </c>
      <c r="I198" t="s">
        <v>18</v>
      </c>
      <c r="J198" t="s">
        <v>39</v>
      </c>
      <c r="K198">
        <v>350</v>
      </c>
      <c r="L198">
        <v>1400</v>
      </c>
      <c r="M198">
        <v>700</v>
      </c>
    </row>
    <row r="199" spans="1:13" x14ac:dyDescent="0.25">
      <c r="A199" t="s">
        <v>376</v>
      </c>
      <c r="B199" t="s">
        <v>218</v>
      </c>
      <c r="C199" t="s">
        <v>191</v>
      </c>
      <c r="D199" t="s">
        <v>43</v>
      </c>
      <c r="E199" t="s">
        <v>17</v>
      </c>
      <c r="F199">
        <v>5</v>
      </c>
      <c r="G199">
        <v>1800</v>
      </c>
      <c r="H199" s="1">
        <v>45659</v>
      </c>
      <c r="I199" t="s">
        <v>79</v>
      </c>
      <c r="J199" t="s">
        <v>19</v>
      </c>
      <c r="K199">
        <v>1100</v>
      </c>
      <c r="L199">
        <v>9000</v>
      </c>
      <c r="M199">
        <v>3500</v>
      </c>
    </row>
    <row r="200" spans="1:13" x14ac:dyDescent="0.25">
      <c r="A200" t="s">
        <v>377</v>
      </c>
      <c r="B200" t="s">
        <v>378</v>
      </c>
      <c r="C200" t="s">
        <v>22</v>
      </c>
      <c r="D200" t="s">
        <v>52</v>
      </c>
      <c r="E200" t="s">
        <v>53</v>
      </c>
      <c r="F200">
        <v>3</v>
      </c>
      <c r="G200">
        <v>700</v>
      </c>
      <c r="H200" s="1">
        <v>45747</v>
      </c>
      <c r="I200" t="s">
        <v>23</v>
      </c>
      <c r="J200" t="s">
        <v>19</v>
      </c>
      <c r="K200">
        <v>350</v>
      </c>
      <c r="L200">
        <v>2100</v>
      </c>
      <c r="M200">
        <v>1050</v>
      </c>
    </row>
    <row r="201" spans="1:13" x14ac:dyDescent="0.25">
      <c r="A201" t="s">
        <v>379</v>
      </c>
      <c r="B201" t="s">
        <v>99</v>
      </c>
      <c r="C201" t="s">
        <v>15</v>
      </c>
      <c r="D201" t="s">
        <v>92</v>
      </c>
      <c r="E201" t="s">
        <v>17</v>
      </c>
      <c r="F201">
        <v>3</v>
      </c>
      <c r="G201">
        <v>55000</v>
      </c>
      <c r="H201" s="1">
        <v>45779</v>
      </c>
      <c r="I201" t="s">
        <v>23</v>
      </c>
      <c r="J201" t="s">
        <v>19</v>
      </c>
      <c r="K201">
        <v>42000</v>
      </c>
      <c r="L201">
        <v>165000</v>
      </c>
      <c r="M201">
        <v>39000</v>
      </c>
    </row>
    <row r="202" spans="1:13" x14ac:dyDescent="0.25">
      <c r="A202" t="s">
        <v>380</v>
      </c>
      <c r="B202" t="s">
        <v>381</v>
      </c>
      <c r="C202" t="s">
        <v>48</v>
      </c>
      <c r="D202" t="s">
        <v>37</v>
      </c>
      <c r="E202" t="s">
        <v>34</v>
      </c>
      <c r="F202">
        <v>1</v>
      </c>
      <c r="G202">
        <v>3000</v>
      </c>
      <c r="H202" s="1">
        <v>45722</v>
      </c>
      <c r="I202" t="s">
        <v>44</v>
      </c>
      <c r="J202" t="s">
        <v>24</v>
      </c>
      <c r="K202">
        <v>1900</v>
      </c>
      <c r="L202">
        <v>3000</v>
      </c>
      <c r="M202">
        <v>1100</v>
      </c>
    </row>
    <row r="203" spans="1:13" x14ac:dyDescent="0.25">
      <c r="A203" t="s">
        <v>382</v>
      </c>
      <c r="B203" t="s">
        <v>117</v>
      </c>
      <c r="C203" t="s">
        <v>118</v>
      </c>
      <c r="D203" t="s">
        <v>105</v>
      </c>
      <c r="E203" t="s">
        <v>53</v>
      </c>
      <c r="F203">
        <v>4</v>
      </c>
      <c r="G203">
        <v>1200</v>
      </c>
      <c r="H203" s="1">
        <v>45843</v>
      </c>
      <c r="I203" t="s">
        <v>44</v>
      </c>
      <c r="J203" t="s">
        <v>45</v>
      </c>
      <c r="K203">
        <v>700</v>
      </c>
      <c r="L203">
        <v>4800</v>
      </c>
      <c r="M203">
        <v>2000</v>
      </c>
    </row>
    <row r="204" spans="1:13" x14ac:dyDescent="0.25">
      <c r="A204" t="s">
        <v>383</v>
      </c>
      <c r="B204" t="s">
        <v>161</v>
      </c>
      <c r="C204" t="s">
        <v>118</v>
      </c>
      <c r="D204" t="s">
        <v>97</v>
      </c>
      <c r="E204" t="s">
        <v>53</v>
      </c>
      <c r="F204">
        <v>2</v>
      </c>
      <c r="G204">
        <v>1000</v>
      </c>
      <c r="H204" s="1">
        <v>45972</v>
      </c>
      <c r="I204" t="s">
        <v>54</v>
      </c>
      <c r="J204" t="s">
        <v>45</v>
      </c>
      <c r="K204">
        <v>600</v>
      </c>
      <c r="L204">
        <v>2000</v>
      </c>
      <c r="M204">
        <v>800</v>
      </c>
    </row>
    <row r="205" spans="1:13" x14ac:dyDescent="0.25">
      <c r="A205" t="s">
        <v>384</v>
      </c>
      <c r="B205" t="s">
        <v>107</v>
      </c>
      <c r="C205" t="s">
        <v>15</v>
      </c>
      <c r="D205" t="s">
        <v>92</v>
      </c>
      <c r="E205" t="s">
        <v>17</v>
      </c>
      <c r="F205">
        <v>1</v>
      </c>
      <c r="G205">
        <v>55000</v>
      </c>
      <c r="H205" s="1">
        <v>45903</v>
      </c>
      <c r="I205" t="s">
        <v>63</v>
      </c>
      <c r="J205" t="s">
        <v>24</v>
      </c>
      <c r="K205">
        <v>42000</v>
      </c>
      <c r="L205">
        <v>55000</v>
      </c>
      <c r="M205">
        <v>13000</v>
      </c>
    </row>
    <row r="206" spans="1:13" x14ac:dyDescent="0.25">
      <c r="A206" t="s">
        <v>385</v>
      </c>
      <c r="B206" t="s">
        <v>50</v>
      </c>
      <c r="C206" t="s">
        <v>51</v>
      </c>
      <c r="D206" t="s">
        <v>105</v>
      </c>
      <c r="E206" t="s">
        <v>53</v>
      </c>
      <c r="F206">
        <v>4</v>
      </c>
      <c r="G206">
        <v>1200</v>
      </c>
      <c r="H206" s="1">
        <v>45695</v>
      </c>
      <c r="I206" t="s">
        <v>38</v>
      </c>
      <c r="J206" t="s">
        <v>29</v>
      </c>
      <c r="K206">
        <v>700</v>
      </c>
      <c r="L206">
        <v>4800</v>
      </c>
      <c r="M206">
        <v>2000</v>
      </c>
    </row>
    <row r="207" spans="1:13" x14ac:dyDescent="0.25">
      <c r="A207" t="s">
        <v>386</v>
      </c>
      <c r="B207" t="s">
        <v>218</v>
      </c>
      <c r="C207" t="s">
        <v>191</v>
      </c>
      <c r="D207" t="s">
        <v>43</v>
      </c>
      <c r="E207" t="s">
        <v>17</v>
      </c>
      <c r="F207">
        <v>1</v>
      </c>
      <c r="G207">
        <v>1800</v>
      </c>
      <c r="H207" s="1">
        <v>45722</v>
      </c>
      <c r="I207" t="s">
        <v>38</v>
      </c>
      <c r="J207" t="s">
        <v>45</v>
      </c>
      <c r="K207">
        <v>1100</v>
      </c>
      <c r="L207">
        <v>1800</v>
      </c>
      <c r="M207">
        <v>700</v>
      </c>
    </row>
    <row r="208" spans="1:13" x14ac:dyDescent="0.25">
      <c r="A208" t="s">
        <v>387</v>
      </c>
      <c r="B208" t="s">
        <v>26</v>
      </c>
      <c r="C208" t="s">
        <v>27</v>
      </c>
      <c r="D208" t="s">
        <v>97</v>
      </c>
      <c r="E208" t="s">
        <v>53</v>
      </c>
      <c r="F208">
        <v>3</v>
      </c>
      <c r="G208">
        <v>1000</v>
      </c>
      <c r="H208" s="1">
        <v>45890</v>
      </c>
      <c r="I208" t="s">
        <v>63</v>
      </c>
      <c r="J208" t="s">
        <v>24</v>
      </c>
      <c r="K208">
        <v>600</v>
      </c>
      <c r="L208">
        <v>3000</v>
      </c>
      <c r="M208">
        <v>1200</v>
      </c>
    </row>
    <row r="209" spans="1:13" x14ac:dyDescent="0.25">
      <c r="A209" t="s">
        <v>388</v>
      </c>
      <c r="B209" t="s">
        <v>190</v>
      </c>
      <c r="C209" t="s">
        <v>191</v>
      </c>
      <c r="D209" t="s">
        <v>16</v>
      </c>
      <c r="E209" t="s">
        <v>17</v>
      </c>
      <c r="F209">
        <v>5</v>
      </c>
      <c r="G209">
        <v>5000</v>
      </c>
      <c r="H209" s="1">
        <v>45768</v>
      </c>
      <c r="I209" t="s">
        <v>35</v>
      </c>
      <c r="J209" t="s">
        <v>19</v>
      </c>
      <c r="K209">
        <v>3200</v>
      </c>
      <c r="L209">
        <v>25000</v>
      </c>
      <c r="M209">
        <v>9000</v>
      </c>
    </row>
    <row r="210" spans="1:13" x14ac:dyDescent="0.25">
      <c r="A210" t="s">
        <v>389</v>
      </c>
      <c r="B210" t="s">
        <v>107</v>
      </c>
      <c r="C210" t="s">
        <v>15</v>
      </c>
      <c r="D210" t="s">
        <v>187</v>
      </c>
      <c r="E210" t="s">
        <v>53</v>
      </c>
      <c r="F210">
        <v>3</v>
      </c>
      <c r="G210">
        <v>3500</v>
      </c>
      <c r="H210" s="1">
        <v>45890</v>
      </c>
      <c r="I210" t="s">
        <v>63</v>
      </c>
      <c r="J210" t="s">
        <v>24</v>
      </c>
      <c r="K210">
        <v>2300</v>
      </c>
      <c r="L210">
        <v>10500</v>
      </c>
      <c r="M210">
        <v>3600</v>
      </c>
    </row>
    <row r="211" spans="1:13" x14ac:dyDescent="0.25">
      <c r="A211" t="s">
        <v>390</v>
      </c>
      <c r="B211" t="s">
        <v>339</v>
      </c>
      <c r="C211" t="s">
        <v>61</v>
      </c>
      <c r="D211" t="s">
        <v>112</v>
      </c>
      <c r="E211" t="s">
        <v>34</v>
      </c>
      <c r="F211">
        <v>4</v>
      </c>
      <c r="G211">
        <v>1500</v>
      </c>
      <c r="H211" s="1">
        <v>45818</v>
      </c>
      <c r="I211" t="s">
        <v>38</v>
      </c>
      <c r="J211" t="s">
        <v>19</v>
      </c>
      <c r="K211">
        <v>900</v>
      </c>
      <c r="L211">
        <v>6000</v>
      </c>
      <c r="M211">
        <v>2400</v>
      </c>
    </row>
    <row r="212" spans="1:13" x14ac:dyDescent="0.25">
      <c r="A212" t="s">
        <v>391</v>
      </c>
      <c r="B212" t="s">
        <v>201</v>
      </c>
      <c r="C212" t="s">
        <v>102</v>
      </c>
      <c r="D212" t="s">
        <v>105</v>
      </c>
      <c r="E212" t="s">
        <v>53</v>
      </c>
      <c r="F212">
        <v>1</v>
      </c>
      <c r="G212">
        <v>1200</v>
      </c>
      <c r="H212" s="1">
        <v>45704</v>
      </c>
      <c r="I212" t="s">
        <v>44</v>
      </c>
      <c r="J212" t="s">
        <v>45</v>
      </c>
      <c r="K212">
        <v>700</v>
      </c>
      <c r="L212">
        <v>1200</v>
      </c>
      <c r="M212">
        <v>500</v>
      </c>
    </row>
    <row r="213" spans="1:13" x14ac:dyDescent="0.25">
      <c r="A213" t="s">
        <v>392</v>
      </c>
      <c r="B213" t="s">
        <v>72</v>
      </c>
      <c r="C213" t="s">
        <v>15</v>
      </c>
      <c r="D213" t="s">
        <v>16</v>
      </c>
      <c r="E213" t="s">
        <v>17</v>
      </c>
      <c r="F213">
        <v>3</v>
      </c>
      <c r="G213">
        <v>5000</v>
      </c>
      <c r="H213" s="1">
        <v>45724</v>
      </c>
      <c r="I213" t="s">
        <v>23</v>
      </c>
      <c r="J213" t="s">
        <v>29</v>
      </c>
      <c r="K213">
        <v>3200</v>
      </c>
      <c r="L213">
        <v>15000</v>
      </c>
      <c r="M213">
        <v>5400</v>
      </c>
    </row>
    <row r="214" spans="1:13" x14ac:dyDescent="0.25">
      <c r="A214" t="s">
        <v>393</v>
      </c>
      <c r="B214" t="s">
        <v>394</v>
      </c>
      <c r="C214" t="s">
        <v>118</v>
      </c>
      <c r="D214" t="s">
        <v>52</v>
      </c>
      <c r="E214" t="s">
        <v>53</v>
      </c>
      <c r="F214">
        <v>5</v>
      </c>
      <c r="G214">
        <v>700</v>
      </c>
      <c r="H214" s="1">
        <v>45826</v>
      </c>
      <c r="I214" t="s">
        <v>63</v>
      </c>
      <c r="J214" t="s">
        <v>39</v>
      </c>
      <c r="K214">
        <v>350</v>
      </c>
      <c r="L214">
        <v>3500</v>
      </c>
      <c r="M214">
        <v>1750</v>
      </c>
    </row>
    <row r="215" spans="1:13" x14ac:dyDescent="0.25">
      <c r="A215" t="s">
        <v>395</v>
      </c>
      <c r="B215" t="s">
        <v>203</v>
      </c>
      <c r="C215" t="s">
        <v>89</v>
      </c>
      <c r="D215" t="s">
        <v>187</v>
      </c>
      <c r="E215" t="s">
        <v>53</v>
      </c>
      <c r="F215">
        <v>1</v>
      </c>
      <c r="G215">
        <v>3500</v>
      </c>
      <c r="H215" s="1">
        <v>45805</v>
      </c>
      <c r="I215" t="s">
        <v>38</v>
      </c>
      <c r="J215" t="s">
        <v>24</v>
      </c>
      <c r="K215">
        <v>2300</v>
      </c>
      <c r="L215">
        <v>3500</v>
      </c>
      <c r="M215">
        <v>1200</v>
      </c>
    </row>
    <row r="216" spans="1:13" x14ac:dyDescent="0.25">
      <c r="A216" t="s">
        <v>396</v>
      </c>
      <c r="B216" t="s">
        <v>397</v>
      </c>
      <c r="C216" t="s">
        <v>70</v>
      </c>
      <c r="D216" t="s">
        <v>97</v>
      </c>
      <c r="E216" t="s">
        <v>53</v>
      </c>
      <c r="F216">
        <v>2</v>
      </c>
      <c r="G216">
        <v>1000</v>
      </c>
      <c r="H216" s="1">
        <v>45737</v>
      </c>
      <c r="I216" t="s">
        <v>18</v>
      </c>
      <c r="J216" t="s">
        <v>24</v>
      </c>
      <c r="K216">
        <v>600</v>
      </c>
      <c r="L216">
        <v>2000</v>
      </c>
      <c r="M216">
        <v>800</v>
      </c>
    </row>
    <row r="217" spans="1:13" x14ac:dyDescent="0.25">
      <c r="A217" t="s">
        <v>398</v>
      </c>
      <c r="B217" t="s">
        <v>186</v>
      </c>
      <c r="C217" t="s">
        <v>27</v>
      </c>
      <c r="D217" t="s">
        <v>58</v>
      </c>
      <c r="E217" t="s">
        <v>34</v>
      </c>
      <c r="F217">
        <v>5</v>
      </c>
      <c r="G217">
        <v>2500</v>
      </c>
      <c r="H217" s="1">
        <v>45846</v>
      </c>
      <c r="I217" t="s">
        <v>54</v>
      </c>
      <c r="J217" t="s">
        <v>29</v>
      </c>
      <c r="K217">
        <v>1600</v>
      </c>
      <c r="L217">
        <v>12500</v>
      </c>
      <c r="M217">
        <v>4500</v>
      </c>
    </row>
    <row r="218" spans="1:13" x14ac:dyDescent="0.25">
      <c r="A218" t="s">
        <v>399</v>
      </c>
      <c r="B218" t="s">
        <v>72</v>
      </c>
      <c r="C218" t="s">
        <v>15</v>
      </c>
      <c r="D218" t="s">
        <v>115</v>
      </c>
      <c r="E218" t="s">
        <v>34</v>
      </c>
      <c r="F218">
        <v>4</v>
      </c>
      <c r="G218">
        <v>1800</v>
      </c>
      <c r="H218" s="1">
        <v>45945</v>
      </c>
      <c r="I218" t="s">
        <v>23</v>
      </c>
      <c r="J218" t="s">
        <v>29</v>
      </c>
      <c r="K218">
        <v>1100</v>
      </c>
      <c r="L218">
        <v>7200</v>
      </c>
      <c r="M218">
        <v>2800</v>
      </c>
    </row>
    <row r="219" spans="1:13" x14ac:dyDescent="0.25">
      <c r="A219" t="s">
        <v>400</v>
      </c>
      <c r="B219" t="s">
        <v>252</v>
      </c>
      <c r="C219" t="s">
        <v>27</v>
      </c>
      <c r="D219" t="s">
        <v>37</v>
      </c>
      <c r="E219" t="s">
        <v>34</v>
      </c>
      <c r="F219">
        <v>1</v>
      </c>
      <c r="G219">
        <v>3000</v>
      </c>
      <c r="H219" s="1">
        <v>45750</v>
      </c>
      <c r="I219" t="s">
        <v>54</v>
      </c>
      <c r="J219" t="s">
        <v>39</v>
      </c>
      <c r="K219">
        <v>1900</v>
      </c>
      <c r="L219">
        <v>3000</v>
      </c>
      <c r="M219">
        <v>1100</v>
      </c>
    </row>
    <row r="220" spans="1:13" x14ac:dyDescent="0.25">
      <c r="A220" t="s">
        <v>401</v>
      </c>
      <c r="B220" t="s">
        <v>402</v>
      </c>
      <c r="C220" t="s">
        <v>32</v>
      </c>
      <c r="D220" t="s">
        <v>58</v>
      </c>
      <c r="E220" t="s">
        <v>34</v>
      </c>
      <c r="F220">
        <v>1</v>
      </c>
      <c r="G220">
        <v>2500</v>
      </c>
      <c r="H220" s="1">
        <v>45750</v>
      </c>
      <c r="I220" t="s">
        <v>63</v>
      </c>
      <c r="J220" t="s">
        <v>24</v>
      </c>
      <c r="K220">
        <v>1600</v>
      </c>
      <c r="L220">
        <v>2500</v>
      </c>
      <c r="M220">
        <v>900</v>
      </c>
    </row>
    <row r="221" spans="1:13" x14ac:dyDescent="0.25">
      <c r="A221" t="s">
        <v>403</v>
      </c>
      <c r="B221" t="s">
        <v>404</v>
      </c>
      <c r="C221" t="s">
        <v>84</v>
      </c>
      <c r="D221" t="s">
        <v>43</v>
      </c>
      <c r="E221" t="s">
        <v>17</v>
      </c>
      <c r="F221">
        <v>1</v>
      </c>
      <c r="G221">
        <v>1800</v>
      </c>
      <c r="H221" s="1">
        <v>45704</v>
      </c>
      <c r="I221" t="s">
        <v>18</v>
      </c>
      <c r="J221" t="s">
        <v>45</v>
      </c>
      <c r="K221">
        <v>1100</v>
      </c>
      <c r="L221">
        <v>1800</v>
      </c>
      <c r="M221">
        <v>700</v>
      </c>
    </row>
    <row r="222" spans="1:13" x14ac:dyDescent="0.25">
      <c r="A222" t="s">
        <v>405</v>
      </c>
      <c r="B222" t="s">
        <v>86</v>
      </c>
      <c r="C222" t="s">
        <v>51</v>
      </c>
      <c r="D222" t="s">
        <v>187</v>
      </c>
      <c r="E222" t="s">
        <v>53</v>
      </c>
      <c r="F222">
        <v>4</v>
      </c>
      <c r="G222">
        <v>3500</v>
      </c>
      <c r="H222" s="1">
        <v>45832</v>
      </c>
      <c r="I222" t="s">
        <v>38</v>
      </c>
      <c r="J222" t="s">
        <v>39</v>
      </c>
      <c r="K222">
        <v>2300</v>
      </c>
      <c r="L222">
        <v>14000</v>
      </c>
      <c r="M222">
        <v>4800</v>
      </c>
    </row>
    <row r="223" spans="1:13" x14ac:dyDescent="0.25">
      <c r="A223" t="s">
        <v>406</v>
      </c>
      <c r="B223" t="s">
        <v>201</v>
      </c>
      <c r="C223" t="s">
        <v>102</v>
      </c>
      <c r="D223" t="s">
        <v>112</v>
      </c>
      <c r="E223" t="s">
        <v>34</v>
      </c>
      <c r="F223">
        <v>5</v>
      </c>
      <c r="G223">
        <v>1500</v>
      </c>
      <c r="H223" s="1">
        <v>45963</v>
      </c>
      <c r="I223" t="s">
        <v>23</v>
      </c>
      <c r="J223" t="s">
        <v>19</v>
      </c>
      <c r="K223">
        <v>900</v>
      </c>
      <c r="L223">
        <v>7500</v>
      </c>
      <c r="M223">
        <v>3000</v>
      </c>
    </row>
    <row r="224" spans="1:13" x14ac:dyDescent="0.25">
      <c r="A224" t="s">
        <v>407</v>
      </c>
      <c r="B224" t="s">
        <v>50</v>
      </c>
      <c r="C224" t="s">
        <v>51</v>
      </c>
      <c r="D224" t="s">
        <v>173</v>
      </c>
      <c r="E224" t="s">
        <v>17</v>
      </c>
      <c r="F224">
        <v>5</v>
      </c>
      <c r="G224">
        <v>900</v>
      </c>
      <c r="H224" s="1">
        <v>45683</v>
      </c>
      <c r="I224" t="s">
        <v>54</v>
      </c>
      <c r="J224" t="s">
        <v>45</v>
      </c>
      <c r="K224">
        <v>500</v>
      </c>
      <c r="L224">
        <v>4500</v>
      </c>
      <c r="M224">
        <v>2000</v>
      </c>
    </row>
    <row r="225" spans="1:13" x14ac:dyDescent="0.25">
      <c r="A225" t="s">
        <v>408</v>
      </c>
      <c r="B225" t="s">
        <v>163</v>
      </c>
      <c r="C225" t="s">
        <v>121</v>
      </c>
      <c r="D225" t="s">
        <v>187</v>
      </c>
      <c r="E225" t="s">
        <v>53</v>
      </c>
      <c r="F225">
        <v>4</v>
      </c>
      <c r="G225">
        <v>3500</v>
      </c>
      <c r="H225" s="1">
        <v>45968</v>
      </c>
      <c r="I225" t="s">
        <v>63</v>
      </c>
      <c r="J225" t="s">
        <v>39</v>
      </c>
      <c r="K225">
        <v>2300</v>
      </c>
      <c r="L225">
        <v>14000</v>
      </c>
      <c r="M225">
        <v>4800</v>
      </c>
    </row>
    <row r="226" spans="1:13" x14ac:dyDescent="0.25">
      <c r="A226" t="s">
        <v>409</v>
      </c>
      <c r="B226" t="s">
        <v>246</v>
      </c>
      <c r="C226" t="s">
        <v>22</v>
      </c>
      <c r="D226" t="s">
        <v>33</v>
      </c>
      <c r="E226" t="s">
        <v>34</v>
      </c>
      <c r="F226">
        <v>5</v>
      </c>
      <c r="G226">
        <v>800</v>
      </c>
      <c r="H226" s="1">
        <v>45716</v>
      </c>
      <c r="I226" t="s">
        <v>63</v>
      </c>
      <c r="J226" t="s">
        <v>24</v>
      </c>
      <c r="K226">
        <v>450</v>
      </c>
      <c r="L226">
        <v>4000</v>
      </c>
      <c r="M226">
        <v>1750</v>
      </c>
    </row>
    <row r="227" spans="1:13" x14ac:dyDescent="0.25">
      <c r="A227" t="s">
        <v>410</v>
      </c>
      <c r="B227" t="s">
        <v>411</v>
      </c>
      <c r="C227" t="s">
        <v>66</v>
      </c>
      <c r="D227" t="s">
        <v>62</v>
      </c>
      <c r="E227" t="s">
        <v>34</v>
      </c>
      <c r="F227">
        <v>5</v>
      </c>
      <c r="G227">
        <v>2200</v>
      </c>
      <c r="H227" s="1">
        <v>45907</v>
      </c>
      <c r="I227" t="s">
        <v>54</v>
      </c>
      <c r="J227" t="s">
        <v>24</v>
      </c>
      <c r="K227">
        <v>1400</v>
      </c>
      <c r="L227">
        <v>11000</v>
      </c>
      <c r="M227">
        <v>4000</v>
      </c>
    </row>
    <row r="228" spans="1:13" x14ac:dyDescent="0.25">
      <c r="A228" t="s">
        <v>412</v>
      </c>
      <c r="B228" t="s">
        <v>140</v>
      </c>
      <c r="C228" t="s">
        <v>66</v>
      </c>
      <c r="D228" t="s">
        <v>115</v>
      </c>
      <c r="E228" t="s">
        <v>34</v>
      </c>
      <c r="F228">
        <v>4</v>
      </c>
      <c r="G228">
        <v>1800</v>
      </c>
      <c r="H228" s="1">
        <v>45964</v>
      </c>
      <c r="I228" t="s">
        <v>23</v>
      </c>
      <c r="J228" t="s">
        <v>19</v>
      </c>
      <c r="K228">
        <v>1100</v>
      </c>
      <c r="L228">
        <v>7200</v>
      </c>
      <c r="M228">
        <v>2800</v>
      </c>
    </row>
    <row r="229" spans="1:13" x14ac:dyDescent="0.25">
      <c r="A229" t="s">
        <v>413</v>
      </c>
      <c r="B229" t="s">
        <v>339</v>
      </c>
      <c r="C229" t="s">
        <v>61</v>
      </c>
      <c r="D229" t="s">
        <v>62</v>
      </c>
      <c r="E229" t="s">
        <v>34</v>
      </c>
      <c r="F229">
        <v>2</v>
      </c>
      <c r="G229">
        <v>2200</v>
      </c>
      <c r="H229" s="1">
        <v>45728</v>
      </c>
      <c r="I229" t="s">
        <v>54</v>
      </c>
      <c r="J229" t="s">
        <v>39</v>
      </c>
      <c r="K229">
        <v>1400</v>
      </c>
      <c r="L229">
        <v>4400</v>
      </c>
      <c r="M229">
        <v>1600</v>
      </c>
    </row>
    <row r="230" spans="1:13" x14ac:dyDescent="0.25">
      <c r="A230" t="s">
        <v>414</v>
      </c>
      <c r="B230" t="s">
        <v>190</v>
      </c>
      <c r="C230" t="s">
        <v>191</v>
      </c>
      <c r="D230" t="s">
        <v>16</v>
      </c>
      <c r="E230" t="s">
        <v>17</v>
      </c>
      <c r="F230">
        <v>1</v>
      </c>
      <c r="G230">
        <v>5000</v>
      </c>
      <c r="H230" s="1">
        <v>45912</v>
      </c>
      <c r="I230" t="s">
        <v>79</v>
      </c>
      <c r="J230" t="s">
        <v>19</v>
      </c>
      <c r="K230">
        <v>3200</v>
      </c>
      <c r="L230">
        <v>5000</v>
      </c>
      <c r="M230">
        <v>1800</v>
      </c>
    </row>
    <row r="231" spans="1:13" x14ac:dyDescent="0.25">
      <c r="A231" t="s">
        <v>415</v>
      </c>
      <c r="B231" t="s">
        <v>416</v>
      </c>
      <c r="C231" t="s">
        <v>133</v>
      </c>
      <c r="D231" t="s">
        <v>78</v>
      </c>
      <c r="E231" t="s">
        <v>53</v>
      </c>
      <c r="F231">
        <v>5</v>
      </c>
      <c r="G231">
        <v>4500</v>
      </c>
      <c r="H231" s="1">
        <v>46018</v>
      </c>
      <c r="I231" t="s">
        <v>38</v>
      </c>
      <c r="J231" t="s">
        <v>24</v>
      </c>
      <c r="K231">
        <v>2900</v>
      </c>
      <c r="L231">
        <v>22500</v>
      </c>
      <c r="M231">
        <v>8000</v>
      </c>
    </row>
    <row r="232" spans="1:13" x14ac:dyDescent="0.25">
      <c r="A232" t="s">
        <v>417</v>
      </c>
      <c r="B232" t="s">
        <v>236</v>
      </c>
      <c r="C232" t="s">
        <v>124</v>
      </c>
      <c r="D232" t="s">
        <v>78</v>
      </c>
      <c r="E232" t="s">
        <v>53</v>
      </c>
      <c r="F232">
        <v>1</v>
      </c>
      <c r="G232">
        <v>4500</v>
      </c>
      <c r="H232" s="1">
        <v>45881</v>
      </c>
      <c r="I232" t="s">
        <v>35</v>
      </c>
      <c r="J232" t="s">
        <v>24</v>
      </c>
      <c r="K232">
        <v>2900</v>
      </c>
      <c r="L232">
        <v>4500</v>
      </c>
      <c r="M232">
        <v>1600</v>
      </c>
    </row>
    <row r="233" spans="1:13" x14ac:dyDescent="0.25">
      <c r="A233" t="s">
        <v>418</v>
      </c>
      <c r="B233" t="s">
        <v>273</v>
      </c>
      <c r="C233" t="s">
        <v>42</v>
      </c>
      <c r="D233" t="s">
        <v>112</v>
      </c>
      <c r="E233" t="s">
        <v>34</v>
      </c>
      <c r="F233">
        <v>5</v>
      </c>
      <c r="G233">
        <v>1500</v>
      </c>
      <c r="H233" s="1">
        <v>45877</v>
      </c>
      <c r="I233" t="s">
        <v>63</v>
      </c>
      <c r="J233" t="s">
        <v>45</v>
      </c>
      <c r="K233">
        <v>900</v>
      </c>
      <c r="L233">
        <v>7500</v>
      </c>
      <c r="M233">
        <v>3000</v>
      </c>
    </row>
    <row r="234" spans="1:13" x14ac:dyDescent="0.25">
      <c r="A234" t="s">
        <v>419</v>
      </c>
      <c r="B234" t="s">
        <v>299</v>
      </c>
      <c r="C234" t="s">
        <v>61</v>
      </c>
      <c r="D234" t="s">
        <v>62</v>
      </c>
      <c r="E234" t="s">
        <v>34</v>
      </c>
      <c r="F234">
        <v>1</v>
      </c>
      <c r="G234">
        <v>2200</v>
      </c>
      <c r="H234" s="1">
        <v>45865</v>
      </c>
      <c r="I234" t="s">
        <v>38</v>
      </c>
      <c r="J234" t="s">
        <v>19</v>
      </c>
      <c r="K234">
        <v>1400</v>
      </c>
      <c r="L234">
        <v>2200</v>
      </c>
      <c r="M234">
        <v>800</v>
      </c>
    </row>
    <row r="235" spans="1:13" x14ac:dyDescent="0.25">
      <c r="A235" t="s">
        <v>420</v>
      </c>
      <c r="B235" t="s">
        <v>184</v>
      </c>
      <c r="C235" t="s">
        <v>118</v>
      </c>
      <c r="D235" t="s">
        <v>67</v>
      </c>
      <c r="E235" t="s">
        <v>53</v>
      </c>
      <c r="F235">
        <v>3</v>
      </c>
      <c r="G235">
        <v>2800</v>
      </c>
      <c r="H235" s="1">
        <v>45703</v>
      </c>
      <c r="I235" t="s">
        <v>44</v>
      </c>
      <c r="J235" t="s">
        <v>19</v>
      </c>
      <c r="K235">
        <v>1800</v>
      </c>
      <c r="L235">
        <v>8400</v>
      </c>
      <c r="M235">
        <v>3000</v>
      </c>
    </row>
    <row r="236" spans="1:13" x14ac:dyDescent="0.25">
      <c r="A236" t="s">
        <v>421</v>
      </c>
      <c r="B236" t="s">
        <v>411</v>
      </c>
      <c r="C236" t="s">
        <v>66</v>
      </c>
      <c r="D236" t="s">
        <v>187</v>
      </c>
      <c r="E236" t="s">
        <v>53</v>
      </c>
      <c r="F236">
        <v>5</v>
      </c>
      <c r="G236">
        <v>3500</v>
      </c>
      <c r="H236" s="1">
        <v>45863</v>
      </c>
      <c r="I236" t="s">
        <v>44</v>
      </c>
      <c r="J236" t="s">
        <v>45</v>
      </c>
      <c r="K236">
        <v>2300</v>
      </c>
      <c r="L236">
        <v>17500</v>
      </c>
      <c r="M236">
        <v>6000</v>
      </c>
    </row>
    <row r="237" spans="1:13" x14ac:dyDescent="0.25">
      <c r="A237" t="s">
        <v>422</v>
      </c>
      <c r="B237" t="s">
        <v>324</v>
      </c>
      <c r="C237" t="s">
        <v>61</v>
      </c>
      <c r="D237" t="s">
        <v>62</v>
      </c>
      <c r="E237" t="s">
        <v>34</v>
      </c>
      <c r="F237">
        <v>3</v>
      </c>
      <c r="G237">
        <v>2200</v>
      </c>
      <c r="H237" s="1">
        <v>45771</v>
      </c>
      <c r="I237" t="s">
        <v>79</v>
      </c>
      <c r="J237" t="s">
        <v>24</v>
      </c>
      <c r="K237">
        <v>1400</v>
      </c>
      <c r="L237">
        <v>6600</v>
      </c>
      <c r="M237">
        <v>2400</v>
      </c>
    </row>
    <row r="238" spans="1:13" x14ac:dyDescent="0.25">
      <c r="A238" t="s">
        <v>423</v>
      </c>
      <c r="B238" t="s">
        <v>316</v>
      </c>
      <c r="C238" t="s">
        <v>191</v>
      </c>
      <c r="D238" t="s">
        <v>97</v>
      </c>
      <c r="E238" t="s">
        <v>53</v>
      </c>
      <c r="F238">
        <v>1</v>
      </c>
      <c r="G238">
        <v>1000</v>
      </c>
      <c r="H238" s="1">
        <v>45929</v>
      </c>
      <c r="I238" t="s">
        <v>18</v>
      </c>
      <c r="J238" t="s">
        <v>39</v>
      </c>
      <c r="K238">
        <v>600</v>
      </c>
      <c r="L238">
        <v>1000</v>
      </c>
      <c r="M238">
        <v>400</v>
      </c>
    </row>
    <row r="239" spans="1:13" x14ac:dyDescent="0.25">
      <c r="A239" t="s">
        <v>424</v>
      </c>
      <c r="B239" t="s">
        <v>41</v>
      </c>
      <c r="C239" t="s">
        <v>42</v>
      </c>
      <c r="D239" t="s">
        <v>58</v>
      </c>
      <c r="E239" t="s">
        <v>34</v>
      </c>
      <c r="F239">
        <v>2</v>
      </c>
      <c r="G239">
        <v>2500</v>
      </c>
      <c r="H239" s="1">
        <v>45778</v>
      </c>
      <c r="I239" t="s">
        <v>79</v>
      </c>
      <c r="J239" t="s">
        <v>39</v>
      </c>
      <c r="K239">
        <v>1600</v>
      </c>
      <c r="L239">
        <v>5000</v>
      </c>
      <c r="M239">
        <v>1800</v>
      </c>
    </row>
    <row r="240" spans="1:13" x14ac:dyDescent="0.25">
      <c r="A240" t="s">
        <v>425</v>
      </c>
      <c r="B240" t="s">
        <v>96</v>
      </c>
      <c r="C240" t="s">
        <v>89</v>
      </c>
      <c r="D240" t="s">
        <v>33</v>
      </c>
      <c r="E240" t="s">
        <v>34</v>
      </c>
      <c r="F240">
        <v>2</v>
      </c>
      <c r="G240">
        <v>800</v>
      </c>
      <c r="H240" s="1">
        <v>45966</v>
      </c>
      <c r="I240" t="s">
        <v>44</v>
      </c>
      <c r="J240" t="s">
        <v>19</v>
      </c>
      <c r="K240">
        <v>450</v>
      </c>
      <c r="L240">
        <v>1600</v>
      </c>
      <c r="M240">
        <v>700</v>
      </c>
    </row>
    <row r="241" spans="1:13" x14ac:dyDescent="0.25">
      <c r="A241" t="s">
        <v>426</v>
      </c>
      <c r="B241" t="s">
        <v>427</v>
      </c>
      <c r="C241" t="s">
        <v>22</v>
      </c>
      <c r="D241" t="s">
        <v>105</v>
      </c>
      <c r="E241" t="s">
        <v>53</v>
      </c>
      <c r="F241">
        <v>4</v>
      </c>
      <c r="G241">
        <v>1200</v>
      </c>
      <c r="H241" s="1">
        <v>45946</v>
      </c>
      <c r="I241" t="s">
        <v>35</v>
      </c>
      <c r="J241" t="s">
        <v>29</v>
      </c>
      <c r="K241">
        <v>700</v>
      </c>
      <c r="L241">
        <v>4800</v>
      </c>
      <c r="M241">
        <v>2000</v>
      </c>
    </row>
    <row r="242" spans="1:13" x14ac:dyDescent="0.25">
      <c r="A242" t="s">
        <v>428</v>
      </c>
      <c r="B242" t="s">
        <v>295</v>
      </c>
      <c r="C242" t="s">
        <v>157</v>
      </c>
      <c r="D242" t="s">
        <v>112</v>
      </c>
      <c r="E242" t="s">
        <v>34</v>
      </c>
      <c r="F242">
        <v>3</v>
      </c>
      <c r="G242">
        <v>1500</v>
      </c>
      <c r="H242" s="1">
        <v>45735</v>
      </c>
      <c r="I242" t="s">
        <v>44</v>
      </c>
      <c r="J242" t="s">
        <v>45</v>
      </c>
      <c r="K242">
        <v>900</v>
      </c>
      <c r="L242">
        <v>4500</v>
      </c>
      <c r="M242">
        <v>1800</v>
      </c>
    </row>
    <row r="243" spans="1:13" x14ac:dyDescent="0.25">
      <c r="A243" t="s">
        <v>429</v>
      </c>
      <c r="B243" t="s">
        <v>140</v>
      </c>
      <c r="C243" t="s">
        <v>66</v>
      </c>
      <c r="D243" t="s">
        <v>67</v>
      </c>
      <c r="E243" t="s">
        <v>53</v>
      </c>
      <c r="F243">
        <v>3</v>
      </c>
      <c r="G243">
        <v>2800</v>
      </c>
      <c r="H243" s="1">
        <v>45798</v>
      </c>
      <c r="I243" t="s">
        <v>38</v>
      </c>
      <c r="J243" t="s">
        <v>29</v>
      </c>
      <c r="K243">
        <v>1800</v>
      </c>
      <c r="L243">
        <v>8400</v>
      </c>
      <c r="M243">
        <v>3000</v>
      </c>
    </row>
    <row r="244" spans="1:13" x14ac:dyDescent="0.25">
      <c r="A244" t="s">
        <v>430</v>
      </c>
      <c r="B244" t="s">
        <v>431</v>
      </c>
      <c r="C244" t="s">
        <v>84</v>
      </c>
      <c r="D244" t="s">
        <v>28</v>
      </c>
      <c r="E244" t="s">
        <v>17</v>
      </c>
      <c r="F244">
        <v>3</v>
      </c>
      <c r="G244">
        <v>2500</v>
      </c>
      <c r="H244" s="1">
        <v>45894</v>
      </c>
      <c r="I244" t="s">
        <v>23</v>
      </c>
      <c r="J244" t="s">
        <v>24</v>
      </c>
      <c r="K244">
        <v>1500</v>
      </c>
      <c r="L244">
        <v>7500</v>
      </c>
      <c r="M244">
        <v>3000</v>
      </c>
    </row>
    <row r="245" spans="1:13" x14ac:dyDescent="0.25">
      <c r="A245" t="s">
        <v>432</v>
      </c>
      <c r="B245" t="s">
        <v>433</v>
      </c>
      <c r="C245" t="s">
        <v>70</v>
      </c>
      <c r="D245" t="s">
        <v>58</v>
      </c>
      <c r="E245" t="s">
        <v>34</v>
      </c>
      <c r="F245">
        <v>3</v>
      </c>
      <c r="G245">
        <v>2500</v>
      </c>
      <c r="H245" s="1">
        <v>45697</v>
      </c>
      <c r="I245" t="s">
        <v>63</v>
      </c>
      <c r="J245" t="s">
        <v>45</v>
      </c>
      <c r="K245">
        <v>1600</v>
      </c>
      <c r="L245">
        <v>7500</v>
      </c>
      <c r="M245">
        <v>2700</v>
      </c>
    </row>
    <row r="246" spans="1:13" x14ac:dyDescent="0.25">
      <c r="A246" t="s">
        <v>434</v>
      </c>
      <c r="B246" t="s">
        <v>273</v>
      </c>
      <c r="C246" t="s">
        <v>42</v>
      </c>
      <c r="D246" t="s">
        <v>52</v>
      </c>
      <c r="E246" t="s">
        <v>53</v>
      </c>
      <c r="F246">
        <v>1</v>
      </c>
      <c r="G246">
        <v>700</v>
      </c>
      <c r="H246" s="1">
        <v>45888</v>
      </c>
      <c r="I246" t="s">
        <v>18</v>
      </c>
      <c r="J246" t="s">
        <v>39</v>
      </c>
      <c r="K246">
        <v>350</v>
      </c>
      <c r="L246">
        <v>700</v>
      </c>
      <c r="M246">
        <v>350</v>
      </c>
    </row>
    <row r="247" spans="1:13" x14ac:dyDescent="0.25">
      <c r="A247" t="s">
        <v>435</v>
      </c>
      <c r="B247" t="s">
        <v>114</v>
      </c>
      <c r="C247" t="s">
        <v>84</v>
      </c>
      <c r="D247" t="s">
        <v>105</v>
      </c>
      <c r="E247" t="s">
        <v>53</v>
      </c>
      <c r="F247">
        <v>5</v>
      </c>
      <c r="G247">
        <v>1200</v>
      </c>
      <c r="H247" s="1">
        <v>45735</v>
      </c>
      <c r="I247" t="s">
        <v>35</v>
      </c>
      <c r="J247" t="s">
        <v>24</v>
      </c>
      <c r="K247">
        <v>700</v>
      </c>
      <c r="L247">
        <v>6000</v>
      </c>
      <c r="M247">
        <v>2500</v>
      </c>
    </row>
    <row r="248" spans="1:13" x14ac:dyDescent="0.25">
      <c r="A248" t="s">
        <v>436</v>
      </c>
      <c r="B248" t="s">
        <v>196</v>
      </c>
      <c r="C248" t="s">
        <v>124</v>
      </c>
      <c r="D248" t="s">
        <v>112</v>
      </c>
      <c r="E248" t="s">
        <v>34</v>
      </c>
      <c r="F248">
        <v>1</v>
      </c>
      <c r="G248">
        <v>1500</v>
      </c>
      <c r="H248" s="1">
        <v>45916</v>
      </c>
      <c r="I248" t="s">
        <v>23</v>
      </c>
      <c r="J248" t="s">
        <v>19</v>
      </c>
      <c r="K248">
        <v>900</v>
      </c>
      <c r="L248">
        <v>1500</v>
      </c>
      <c r="M248">
        <v>600</v>
      </c>
    </row>
    <row r="249" spans="1:13" x14ac:dyDescent="0.25">
      <c r="A249" t="s">
        <v>437</v>
      </c>
      <c r="B249" t="s">
        <v>438</v>
      </c>
      <c r="C249" t="s">
        <v>121</v>
      </c>
      <c r="D249" t="s">
        <v>67</v>
      </c>
      <c r="E249" t="s">
        <v>53</v>
      </c>
      <c r="F249">
        <v>4</v>
      </c>
      <c r="G249">
        <v>2800</v>
      </c>
      <c r="H249" s="1">
        <v>45926</v>
      </c>
      <c r="I249" t="s">
        <v>79</v>
      </c>
      <c r="J249" t="s">
        <v>39</v>
      </c>
      <c r="K249">
        <v>1800</v>
      </c>
      <c r="L249">
        <v>11200</v>
      </c>
      <c r="M249">
        <v>4000</v>
      </c>
    </row>
    <row r="250" spans="1:13" x14ac:dyDescent="0.25">
      <c r="A250" t="s">
        <v>439</v>
      </c>
      <c r="B250" t="s">
        <v>440</v>
      </c>
      <c r="C250" t="s">
        <v>124</v>
      </c>
      <c r="D250" t="s">
        <v>58</v>
      </c>
      <c r="E250" t="s">
        <v>34</v>
      </c>
      <c r="F250">
        <v>3</v>
      </c>
      <c r="G250">
        <v>2500</v>
      </c>
      <c r="H250" s="1">
        <v>45856</v>
      </c>
      <c r="I250" t="s">
        <v>38</v>
      </c>
      <c r="J250" t="s">
        <v>29</v>
      </c>
      <c r="K250">
        <v>1600</v>
      </c>
      <c r="L250">
        <v>7500</v>
      </c>
      <c r="M250">
        <v>2700</v>
      </c>
    </row>
    <row r="251" spans="1:13" x14ac:dyDescent="0.25">
      <c r="A251" t="s">
        <v>441</v>
      </c>
      <c r="B251" t="s">
        <v>442</v>
      </c>
      <c r="C251" t="s">
        <v>124</v>
      </c>
      <c r="D251" t="s">
        <v>75</v>
      </c>
      <c r="E251" t="s">
        <v>17</v>
      </c>
      <c r="F251">
        <v>3</v>
      </c>
      <c r="G251">
        <v>22000</v>
      </c>
      <c r="H251" s="1">
        <v>45691</v>
      </c>
      <c r="I251" t="s">
        <v>44</v>
      </c>
      <c r="J251" t="s">
        <v>29</v>
      </c>
      <c r="K251">
        <v>17000</v>
      </c>
      <c r="L251">
        <v>66000</v>
      </c>
      <c r="M251">
        <v>15000</v>
      </c>
    </row>
    <row r="252" spans="1:13" x14ac:dyDescent="0.25">
      <c r="A252" t="s">
        <v>443</v>
      </c>
      <c r="B252" t="s">
        <v>165</v>
      </c>
      <c r="C252" t="s">
        <v>133</v>
      </c>
      <c r="D252" t="s">
        <v>78</v>
      </c>
      <c r="E252" t="s">
        <v>53</v>
      </c>
      <c r="F252">
        <v>3</v>
      </c>
      <c r="G252">
        <v>4500</v>
      </c>
      <c r="H252" s="1">
        <v>45787</v>
      </c>
      <c r="I252" t="s">
        <v>38</v>
      </c>
      <c r="J252" t="s">
        <v>24</v>
      </c>
      <c r="K252">
        <v>2900</v>
      </c>
      <c r="L252">
        <v>13500</v>
      </c>
      <c r="M252">
        <v>4800</v>
      </c>
    </row>
    <row r="253" spans="1:13" x14ac:dyDescent="0.25">
      <c r="A253" t="s">
        <v>444</v>
      </c>
      <c r="B253" t="s">
        <v>445</v>
      </c>
      <c r="C253" t="s">
        <v>51</v>
      </c>
      <c r="D253" t="s">
        <v>43</v>
      </c>
      <c r="E253" t="s">
        <v>17</v>
      </c>
      <c r="F253">
        <v>3</v>
      </c>
      <c r="G253">
        <v>1800</v>
      </c>
      <c r="H253" s="1">
        <v>45816</v>
      </c>
      <c r="I253" t="s">
        <v>79</v>
      </c>
      <c r="J253" t="s">
        <v>29</v>
      </c>
      <c r="K253">
        <v>1100</v>
      </c>
      <c r="L253">
        <v>5400</v>
      </c>
      <c r="M253">
        <v>2100</v>
      </c>
    </row>
    <row r="254" spans="1:13" x14ac:dyDescent="0.25">
      <c r="A254" t="s">
        <v>446</v>
      </c>
      <c r="B254" t="s">
        <v>447</v>
      </c>
      <c r="C254" t="s">
        <v>32</v>
      </c>
      <c r="D254" t="s">
        <v>28</v>
      </c>
      <c r="E254" t="s">
        <v>17</v>
      </c>
      <c r="F254">
        <v>3</v>
      </c>
      <c r="G254">
        <v>2500</v>
      </c>
      <c r="H254" s="1">
        <v>45944</v>
      </c>
      <c r="I254" t="s">
        <v>38</v>
      </c>
      <c r="J254" t="s">
        <v>19</v>
      </c>
      <c r="K254">
        <v>1500</v>
      </c>
      <c r="L254">
        <v>7500</v>
      </c>
      <c r="M254">
        <v>3000</v>
      </c>
    </row>
    <row r="255" spans="1:13" x14ac:dyDescent="0.25">
      <c r="A255" t="s">
        <v>448</v>
      </c>
      <c r="B255" t="s">
        <v>21</v>
      </c>
      <c r="C255" t="s">
        <v>22</v>
      </c>
      <c r="D255" t="s">
        <v>97</v>
      </c>
      <c r="E255" t="s">
        <v>53</v>
      </c>
      <c r="F255">
        <v>1</v>
      </c>
      <c r="G255">
        <v>1000</v>
      </c>
      <c r="H255" s="1">
        <v>45988</v>
      </c>
      <c r="I255" t="s">
        <v>38</v>
      </c>
      <c r="J255" t="s">
        <v>24</v>
      </c>
      <c r="K255">
        <v>600</v>
      </c>
      <c r="L255">
        <v>1000</v>
      </c>
      <c r="M255">
        <v>400</v>
      </c>
    </row>
    <row r="256" spans="1:13" x14ac:dyDescent="0.25">
      <c r="A256" t="s">
        <v>449</v>
      </c>
      <c r="B256" t="s">
        <v>150</v>
      </c>
      <c r="C256" t="s">
        <v>66</v>
      </c>
      <c r="D256" t="s">
        <v>58</v>
      </c>
      <c r="E256" t="s">
        <v>34</v>
      </c>
      <c r="F256">
        <v>3</v>
      </c>
      <c r="G256">
        <v>2500</v>
      </c>
      <c r="H256" s="1">
        <v>45750</v>
      </c>
      <c r="I256" t="s">
        <v>38</v>
      </c>
      <c r="J256" t="s">
        <v>45</v>
      </c>
      <c r="K256">
        <v>1600</v>
      </c>
      <c r="L256">
        <v>7500</v>
      </c>
      <c r="M256">
        <v>2700</v>
      </c>
    </row>
    <row r="257" spans="1:13" x14ac:dyDescent="0.25">
      <c r="A257" t="s">
        <v>450</v>
      </c>
      <c r="B257" t="s">
        <v>96</v>
      </c>
      <c r="C257" t="s">
        <v>89</v>
      </c>
      <c r="D257" t="s">
        <v>33</v>
      </c>
      <c r="E257" t="s">
        <v>34</v>
      </c>
      <c r="F257">
        <v>2</v>
      </c>
      <c r="G257">
        <v>800</v>
      </c>
      <c r="H257" s="1">
        <v>45728</v>
      </c>
      <c r="I257" t="s">
        <v>44</v>
      </c>
      <c r="J257" t="s">
        <v>39</v>
      </c>
      <c r="K257">
        <v>450</v>
      </c>
      <c r="L257">
        <v>1600</v>
      </c>
      <c r="M257">
        <v>700</v>
      </c>
    </row>
    <row r="258" spans="1:13" x14ac:dyDescent="0.25">
      <c r="A258" t="s">
        <v>451</v>
      </c>
      <c r="B258" t="s">
        <v>411</v>
      </c>
      <c r="C258" t="s">
        <v>66</v>
      </c>
      <c r="D258" t="s">
        <v>16</v>
      </c>
      <c r="E258" t="s">
        <v>17</v>
      </c>
      <c r="F258">
        <v>5</v>
      </c>
      <c r="G258">
        <v>5000</v>
      </c>
      <c r="H258" s="1">
        <v>45934</v>
      </c>
      <c r="I258" t="s">
        <v>23</v>
      </c>
      <c r="J258" t="s">
        <v>39</v>
      </c>
      <c r="K258">
        <v>3200</v>
      </c>
      <c r="L258">
        <v>25000</v>
      </c>
      <c r="M258">
        <v>9000</v>
      </c>
    </row>
    <row r="259" spans="1:13" x14ac:dyDescent="0.25">
      <c r="A259" t="s">
        <v>452</v>
      </c>
      <c r="B259" t="s">
        <v>96</v>
      </c>
      <c r="C259" t="s">
        <v>89</v>
      </c>
      <c r="D259" t="s">
        <v>43</v>
      </c>
      <c r="E259" t="s">
        <v>17</v>
      </c>
      <c r="F259">
        <v>5</v>
      </c>
      <c r="G259">
        <v>1800</v>
      </c>
      <c r="H259" s="1">
        <v>45850</v>
      </c>
      <c r="I259" t="s">
        <v>79</v>
      </c>
      <c r="J259" t="s">
        <v>19</v>
      </c>
      <c r="K259">
        <v>1100</v>
      </c>
      <c r="L259">
        <v>9000</v>
      </c>
      <c r="M259">
        <v>3500</v>
      </c>
    </row>
    <row r="260" spans="1:13" x14ac:dyDescent="0.25">
      <c r="A260" t="s">
        <v>453</v>
      </c>
      <c r="B260" t="s">
        <v>454</v>
      </c>
      <c r="C260" t="s">
        <v>61</v>
      </c>
      <c r="D260" t="s">
        <v>173</v>
      </c>
      <c r="E260" t="s">
        <v>17</v>
      </c>
      <c r="F260">
        <v>4</v>
      </c>
      <c r="G260">
        <v>900</v>
      </c>
      <c r="H260" s="1">
        <v>45680</v>
      </c>
      <c r="I260" t="s">
        <v>38</v>
      </c>
      <c r="J260" t="s">
        <v>19</v>
      </c>
      <c r="K260">
        <v>500</v>
      </c>
      <c r="L260">
        <v>3600</v>
      </c>
      <c r="M260">
        <v>1600</v>
      </c>
    </row>
    <row r="261" spans="1:13" x14ac:dyDescent="0.25">
      <c r="A261" t="s">
        <v>455</v>
      </c>
      <c r="B261" t="s">
        <v>216</v>
      </c>
      <c r="C261" t="s">
        <v>66</v>
      </c>
      <c r="D261" t="s">
        <v>67</v>
      </c>
      <c r="E261" t="s">
        <v>53</v>
      </c>
      <c r="F261">
        <v>5</v>
      </c>
      <c r="G261">
        <v>2800</v>
      </c>
      <c r="H261" s="1">
        <v>45803</v>
      </c>
      <c r="I261" t="s">
        <v>18</v>
      </c>
      <c r="J261" t="s">
        <v>29</v>
      </c>
      <c r="K261">
        <v>1800</v>
      </c>
      <c r="L261">
        <v>14000</v>
      </c>
      <c r="M261">
        <v>5000</v>
      </c>
    </row>
    <row r="262" spans="1:13" x14ac:dyDescent="0.25">
      <c r="A262" t="s">
        <v>456</v>
      </c>
      <c r="B262" t="s">
        <v>178</v>
      </c>
      <c r="C262" t="s">
        <v>27</v>
      </c>
      <c r="D262" t="s">
        <v>115</v>
      </c>
      <c r="E262" t="s">
        <v>34</v>
      </c>
      <c r="F262">
        <v>3</v>
      </c>
      <c r="G262">
        <v>1800</v>
      </c>
      <c r="H262" s="1">
        <v>45898</v>
      </c>
      <c r="I262" t="s">
        <v>38</v>
      </c>
      <c r="J262" t="s">
        <v>29</v>
      </c>
      <c r="K262">
        <v>1100</v>
      </c>
      <c r="L262">
        <v>5400</v>
      </c>
      <c r="M262">
        <v>2100</v>
      </c>
    </row>
    <row r="263" spans="1:13" x14ac:dyDescent="0.25">
      <c r="A263" t="s">
        <v>457</v>
      </c>
      <c r="B263" t="s">
        <v>137</v>
      </c>
      <c r="C263" t="s">
        <v>57</v>
      </c>
      <c r="D263" t="s">
        <v>67</v>
      </c>
      <c r="E263" t="s">
        <v>53</v>
      </c>
      <c r="F263">
        <v>4</v>
      </c>
      <c r="G263">
        <v>2800</v>
      </c>
      <c r="H263" s="1">
        <v>45802</v>
      </c>
      <c r="I263" t="s">
        <v>63</v>
      </c>
      <c r="J263" t="s">
        <v>19</v>
      </c>
      <c r="K263">
        <v>1800</v>
      </c>
      <c r="L263">
        <v>11200</v>
      </c>
      <c r="M263">
        <v>4000</v>
      </c>
    </row>
    <row r="264" spans="1:13" x14ac:dyDescent="0.25">
      <c r="A264" t="s">
        <v>458</v>
      </c>
      <c r="B264" t="s">
        <v>297</v>
      </c>
      <c r="C264" t="s">
        <v>124</v>
      </c>
      <c r="D264" t="s">
        <v>33</v>
      </c>
      <c r="E264" t="s">
        <v>34</v>
      </c>
      <c r="F264">
        <v>5</v>
      </c>
      <c r="G264">
        <v>800</v>
      </c>
      <c r="H264" s="1">
        <v>45728</v>
      </c>
      <c r="I264" t="s">
        <v>23</v>
      </c>
      <c r="J264" t="s">
        <v>45</v>
      </c>
      <c r="K264">
        <v>450</v>
      </c>
      <c r="L264">
        <v>4000</v>
      </c>
      <c r="M264">
        <v>1750</v>
      </c>
    </row>
    <row r="265" spans="1:13" x14ac:dyDescent="0.25">
      <c r="A265" t="s">
        <v>459</v>
      </c>
      <c r="B265" t="s">
        <v>210</v>
      </c>
      <c r="C265" t="s">
        <v>157</v>
      </c>
      <c r="D265" t="s">
        <v>58</v>
      </c>
      <c r="E265" t="s">
        <v>34</v>
      </c>
      <c r="F265">
        <v>5</v>
      </c>
      <c r="G265">
        <v>2500</v>
      </c>
      <c r="H265" s="1">
        <v>45710</v>
      </c>
      <c r="I265" t="s">
        <v>44</v>
      </c>
      <c r="J265" t="s">
        <v>39</v>
      </c>
      <c r="K265">
        <v>1600</v>
      </c>
      <c r="L265">
        <v>12500</v>
      </c>
      <c r="M265">
        <v>4500</v>
      </c>
    </row>
    <row r="266" spans="1:13" x14ac:dyDescent="0.25">
      <c r="A266" t="s">
        <v>460</v>
      </c>
      <c r="B266" t="s">
        <v>431</v>
      </c>
      <c r="C266" t="s">
        <v>84</v>
      </c>
      <c r="D266" t="s">
        <v>28</v>
      </c>
      <c r="E266" t="s">
        <v>17</v>
      </c>
      <c r="F266">
        <v>2</v>
      </c>
      <c r="G266">
        <v>2500</v>
      </c>
      <c r="H266" s="1">
        <v>45797</v>
      </c>
      <c r="I266" t="s">
        <v>79</v>
      </c>
      <c r="J266" t="s">
        <v>45</v>
      </c>
      <c r="K266">
        <v>1500</v>
      </c>
      <c r="L266">
        <v>5000</v>
      </c>
      <c r="M266">
        <v>2000</v>
      </c>
    </row>
    <row r="267" spans="1:13" x14ac:dyDescent="0.25">
      <c r="A267" t="s">
        <v>461</v>
      </c>
      <c r="B267" t="s">
        <v>180</v>
      </c>
      <c r="C267" t="s">
        <v>27</v>
      </c>
      <c r="D267" t="s">
        <v>28</v>
      </c>
      <c r="E267" t="s">
        <v>17</v>
      </c>
      <c r="F267">
        <v>2</v>
      </c>
      <c r="G267">
        <v>2500</v>
      </c>
      <c r="H267" s="1">
        <v>45888</v>
      </c>
      <c r="I267" t="s">
        <v>23</v>
      </c>
      <c r="J267" t="s">
        <v>45</v>
      </c>
      <c r="K267">
        <v>1500</v>
      </c>
      <c r="L267">
        <v>5000</v>
      </c>
      <c r="M267">
        <v>2000</v>
      </c>
    </row>
    <row r="268" spans="1:13" x14ac:dyDescent="0.25">
      <c r="A268" t="s">
        <v>462</v>
      </c>
      <c r="B268" t="s">
        <v>463</v>
      </c>
      <c r="C268" t="s">
        <v>84</v>
      </c>
      <c r="D268" t="s">
        <v>75</v>
      </c>
      <c r="E268" t="s">
        <v>17</v>
      </c>
      <c r="F268">
        <v>4</v>
      </c>
      <c r="G268">
        <v>22000</v>
      </c>
      <c r="H268" s="1">
        <v>45915</v>
      </c>
      <c r="I268" t="s">
        <v>18</v>
      </c>
      <c r="J268" t="s">
        <v>45</v>
      </c>
      <c r="K268">
        <v>17000</v>
      </c>
      <c r="L268">
        <v>88000</v>
      </c>
      <c r="M268">
        <v>20000</v>
      </c>
    </row>
    <row r="269" spans="1:13" x14ac:dyDescent="0.25">
      <c r="A269" t="s">
        <v>464</v>
      </c>
      <c r="B269" t="s">
        <v>229</v>
      </c>
      <c r="C269" t="s">
        <v>48</v>
      </c>
      <c r="D269" t="s">
        <v>28</v>
      </c>
      <c r="E269" t="s">
        <v>17</v>
      </c>
      <c r="F269">
        <v>3</v>
      </c>
      <c r="G269">
        <v>2500</v>
      </c>
      <c r="H269" s="1">
        <v>45772</v>
      </c>
      <c r="I269" t="s">
        <v>38</v>
      </c>
      <c r="J269" t="s">
        <v>24</v>
      </c>
      <c r="K269">
        <v>1500</v>
      </c>
      <c r="L269">
        <v>7500</v>
      </c>
      <c r="M269">
        <v>3000</v>
      </c>
    </row>
    <row r="270" spans="1:13" x14ac:dyDescent="0.25">
      <c r="A270" t="s">
        <v>465</v>
      </c>
      <c r="B270" t="s">
        <v>366</v>
      </c>
      <c r="C270" t="s">
        <v>27</v>
      </c>
      <c r="D270" t="s">
        <v>112</v>
      </c>
      <c r="E270" t="s">
        <v>34</v>
      </c>
      <c r="F270">
        <v>2</v>
      </c>
      <c r="G270">
        <v>1500</v>
      </c>
      <c r="H270" s="1">
        <v>45728</v>
      </c>
      <c r="I270" t="s">
        <v>54</v>
      </c>
      <c r="J270" t="s">
        <v>45</v>
      </c>
      <c r="K270">
        <v>900</v>
      </c>
      <c r="L270">
        <v>3000</v>
      </c>
      <c r="M270">
        <v>1200</v>
      </c>
    </row>
    <row r="271" spans="1:13" x14ac:dyDescent="0.25">
      <c r="A271" t="s">
        <v>466</v>
      </c>
      <c r="B271" t="s">
        <v>467</v>
      </c>
      <c r="C271" t="s">
        <v>102</v>
      </c>
      <c r="D271" t="s">
        <v>43</v>
      </c>
      <c r="E271" t="s">
        <v>17</v>
      </c>
      <c r="F271">
        <v>4</v>
      </c>
      <c r="G271">
        <v>1800</v>
      </c>
      <c r="H271" s="1">
        <v>45887</v>
      </c>
      <c r="I271" t="s">
        <v>44</v>
      </c>
      <c r="J271" t="s">
        <v>24</v>
      </c>
      <c r="K271">
        <v>1100</v>
      </c>
      <c r="L271">
        <v>7200</v>
      </c>
      <c r="M271">
        <v>2800</v>
      </c>
    </row>
    <row r="272" spans="1:13" x14ac:dyDescent="0.25">
      <c r="A272" t="s">
        <v>468</v>
      </c>
      <c r="B272" t="s">
        <v>469</v>
      </c>
      <c r="C272" t="s">
        <v>51</v>
      </c>
      <c r="D272" t="s">
        <v>37</v>
      </c>
      <c r="E272" t="s">
        <v>34</v>
      </c>
      <c r="F272">
        <v>2</v>
      </c>
      <c r="G272">
        <v>3000</v>
      </c>
      <c r="H272" s="1">
        <v>45734</v>
      </c>
      <c r="I272" t="s">
        <v>63</v>
      </c>
      <c r="J272" t="s">
        <v>24</v>
      </c>
      <c r="K272">
        <v>1900</v>
      </c>
      <c r="L272">
        <v>6000</v>
      </c>
      <c r="M272">
        <v>2200</v>
      </c>
    </row>
    <row r="273" spans="1:13" x14ac:dyDescent="0.25">
      <c r="A273" t="s">
        <v>470</v>
      </c>
      <c r="B273" t="s">
        <v>394</v>
      </c>
      <c r="C273" t="s">
        <v>118</v>
      </c>
      <c r="D273" t="s">
        <v>62</v>
      </c>
      <c r="E273" t="s">
        <v>34</v>
      </c>
      <c r="F273">
        <v>2</v>
      </c>
      <c r="G273">
        <v>2200</v>
      </c>
      <c r="H273" s="1">
        <v>45812</v>
      </c>
      <c r="I273" t="s">
        <v>23</v>
      </c>
      <c r="J273" t="s">
        <v>19</v>
      </c>
      <c r="K273">
        <v>1400</v>
      </c>
      <c r="L273">
        <v>4400</v>
      </c>
      <c r="M273">
        <v>1600</v>
      </c>
    </row>
    <row r="274" spans="1:13" x14ac:dyDescent="0.25">
      <c r="A274" t="s">
        <v>471</v>
      </c>
      <c r="B274" t="s">
        <v>472</v>
      </c>
      <c r="C274" t="s">
        <v>32</v>
      </c>
      <c r="D274" t="s">
        <v>187</v>
      </c>
      <c r="E274" t="s">
        <v>53</v>
      </c>
      <c r="F274">
        <v>5</v>
      </c>
      <c r="G274">
        <v>3500</v>
      </c>
      <c r="H274" s="1">
        <v>45892</v>
      </c>
      <c r="I274" t="s">
        <v>44</v>
      </c>
      <c r="J274" t="s">
        <v>45</v>
      </c>
      <c r="K274">
        <v>2300</v>
      </c>
      <c r="L274">
        <v>17500</v>
      </c>
      <c r="M274">
        <v>6000</v>
      </c>
    </row>
    <row r="275" spans="1:13" x14ac:dyDescent="0.25">
      <c r="A275" t="s">
        <v>473</v>
      </c>
      <c r="B275" t="s">
        <v>117</v>
      </c>
      <c r="C275" t="s">
        <v>118</v>
      </c>
      <c r="D275" t="s">
        <v>52</v>
      </c>
      <c r="E275" t="s">
        <v>53</v>
      </c>
      <c r="F275">
        <v>1</v>
      </c>
      <c r="G275">
        <v>700</v>
      </c>
      <c r="H275" s="1">
        <v>45981</v>
      </c>
      <c r="I275" t="s">
        <v>18</v>
      </c>
      <c r="J275" t="s">
        <v>19</v>
      </c>
      <c r="K275">
        <v>350</v>
      </c>
      <c r="L275">
        <v>700</v>
      </c>
      <c r="M275">
        <v>350</v>
      </c>
    </row>
    <row r="276" spans="1:13" x14ac:dyDescent="0.25">
      <c r="A276" t="s">
        <v>474</v>
      </c>
      <c r="B276" t="s">
        <v>226</v>
      </c>
      <c r="C276" t="s">
        <v>191</v>
      </c>
      <c r="D276" t="s">
        <v>62</v>
      </c>
      <c r="E276" t="s">
        <v>34</v>
      </c>
      <c r="F276">
        <v>4</v>
      </c>
      <c r="G276">
        <v>2200</v>
      </c>
      <c r="H276" s="1">
        <v>45658</v>
      </c>
      <c r="I276" t="s">
        <v>18</v>
      </c>
      <c r="J276" t="s">
        <v>29</v>
      </c>
      <c r="K276">
        <v>1400</v>
      </c>
      <c r="L276">
        <v>8800</v>
      </c>
      <c r="M276">
        <v>3200</v>
      </c>
    </row>
    <row r="277" spans="1:13" x14ac:dyDescent="0.25">
      <c r="A277" t="s">
        <v>475</v>
      </c>
      <c r="B277" t="s">
        <v>201</v>
      </c>
      <c r="C277" t="s">
        <v>102</v>
      </c>
      <c r="D277" t="s">
        <v>187</v>
      </c>
      <c r="E277" t="s">
        <v>53</v>
      </c>
      <c r="F277">
        <v>2</v>
      </c>
      <c r="G277">
        <v>3500</v>
      </c>
      <c r="H277" s="1">
        <v>45998</v>
      </c>
      <c r="I277" t="s">
        <v>38</v>
      </c>
      <c r="J277" t="s">
        <v>24</v>
      </c>
      <c r="K277">
        <v>2300</v>
      </c>
      <c r="L277">
        <v>7000</v>
      </c>
      <c r="M277">
        <v>2400</v>
      </c>
    </row>
    <row r="278" spans="1:13" x14ac:dyDescent="0.25">
      <c r="A278" t="s">
        <v>476</v>
      </c>
      <c r="B278" t="s">
        <v>26</v>
      </c>
      <c r="C278" t="s">
        <v>27</v>
      </c>
      <c r="D278" t="s">
        <v>97</v>
      </c>
      <c r="E278" t="s">
        <v>53</v>
      </c>
      <c r="F278">
        <v>5</v>
      </c>
      <c r="G278">
        <v>1000</v>
      </c>
      <c r="H278" s="1">
        <v>45917</v>
      </c>
      <c r="I278" t="s">
        <v>23</v>
      </c>
      <c r="J278" t="s">
        <v>45</v>
      </c>
      <c r="K278">
        <v>600</v>
      </c>
      <c r="L278">
        <v>5000</v>
      </c>
      <c r="M278">
        <v>2000</v>
      </c>
    </row>
    <row r="279" spans="1:13" x14ac:dyDescent="0.25">
      <c r="A279" t="s">
        <v>477</v>
      </c>
      <c r="B279" t="s">
        <v>224</v>
      </c>
      <c r="C279" t="s">
        <v>89</v>
      </c>
      <c r="D279" t="s">
        <v>105</v>
      </c>
      <c r="E279" t="s">
        <v>53</v>
      </c>
      <c r="F279">
        <v>1</v>
      </c>
      <c r="G279">
        <v>1200</v>
      </c>
      <c r="H279" s="1">
        <v>45983</v>
      </c>
      <c r="I279" t="s">
        <v>38</v>
      </c>
      <c r="J279" t="s">
        <v>39</v>
      </c>
      <c r="K279">
        <v>700</v>
      </c>
      <c r="L279">
        <v>1200</v>
      </c>
      <c r="M279">
        <v>500</v>
      </c>
    </row>
    <row r="280" spans="1:13" x14ac:dyDescent="0.25">
      <c r="A280" t="s">
        <v>478</v>
      </c>
      <c r="B280" t="s">
        <v>246</v>
      </c>
      <c r="C280" t="s">
        <v>22</v>
      </c>
      <c r="D280" t="s">
        <v>92</v>
      </c>
      <c r="E280" t="s">
        <v>17</v>
      </c>
      <c r="F280">
        <v>3</v>
      </c>
      <c r="G280">
        <v>55000</v>
      </c>
      <c r="H280" s="1">
        <v>45692</v>
      </c>
      <c r="I280" t="s">
        <v>18</v>
      </c>
      <c r="J280" t="s">
        <v>24</v>
      </c>
      <c r="K280">
        <v>42000</v>
      </c>
      <c r="L280">
        <v>165000</v>
      </c>
      <c r="M280">
        <v>39000</v>
      </c>
    </row>
    <row r="281" spans="1:13" x14ac:dyDescent="0.25">
      <c r="A281" t="s">
        <v>479</v>
      </c>
      <c r="B281" t="s">
        <v>226</v>
      </c>
      <c r="C281" t="s">
        <v>191</v>
      </c>
      <c r="D281" t="s">
        <v>112</v>
      </c>
      <c r="E281" t="s">
        <v>34</v>
      </c>
      <c r="F281">
        <v>2</v>
      </c>
      <c r="G281">
        <v>1500</v>
      </c>
      <c r="H281" s="1">
        <v>45680</v>
      </c>
      <c r="I281" t="s">
        <v>38</v>
      </c>
      <c r="J281" t="s">
        <v>19</v>
      </c>
      <c r="K281">
        <v>900</v>
      </c>
      <c r="L281">
        <v>3000</v>
      </c>
      <c r="M281">
        <v>1200</v>
      </c>
    </row>
    <row r="282" spans="1:13" x14ac:dyDescent="0.25">
      <c r="A282" t="s">
        <v>480</v>
      </c>
      <c r="B282" t="s">
        <v>257</v>
      </c>
      <c r="C282" t="s">
        <v>42</v>
      </c>
      <c r="D282" t="s">
        <v>67</v>
      </c>
      <c r="E282" t="s">
        <v>53</v>
      </c>
      <c r="F282">
        <v>4</v>
      </c>
      <c r="G282">
        <v>2800</v>
      </c>
      <c r="H282" s="1">
        <v>45981</v>
      </c>
      <c r="I282" t="s">
        <v>79</v>
      </c>
      <c r="J282" t="s">
        <v>24</v>
      </c>
      <c r="K282">
        <v>1800</v>
      </c>
      <c r="L282">
        <v>11200</v>
      </c>
      <c r="M282">
        <v>4000</v>
      </c>
    </row>
    <row r="283" spans="1:13" x14ac:dyDescent="0.25">
      <c r="A283" t="s">
        <v>481</v>
      </c>
      <c r="B283" t="s">
        <v>482</v>
      </c>
      <c r="C283" t="s">
        <v>118</v>
      </c>
      <c r="D283" t="s">
        <v>67</v>
      </c>
      <c r="E283" t="s">
        <v>53</v>
      </c>
      <c r="F283">
        <v>1</v>
      </c>
      <c r="G283">
        <v>2800</v>
      </c>
      <c r="H283" s="1">
        <v>45808</v>
      </c>
      <c r="I283" t="s">
        <v>23</v>
      </c>
      <c r="J283" t="s">
        <v>19</v>
      </c>
      <c r="K283">
        <v>1800</v>
      </c>
      <c r="L283">
        <v>2800</v>
      </c>
      <c r="M283">
        <v>1000</v>
      </c>
    </row>
    <row r="284" spans="1:13" x14ac:dyDescent="0.25">
      <c r="A284" t="s">
        <v>483</v>
      </c>
      <c r="B284" t="s">
        <v>117</v>
      </c>
      <c r="C284" t="s">
        <v>118</v>
      </c>
      <c r="D284" t="s">
        <v>75</v>
      </c>
      <c r="E284" t="s">
        <v>17</v>
      </c>
      <c r="F284">
        <v>3</v>
      </c>
      <c r="G284">
        <v>22000</v>
      </c>
      <c r="H284" s="1">
        <v>45816</v>
      </c>
      <c r="I284" t="s">
        <v>63</v>
      </c>
      <c r="J284" t="s">
        <v>29</v>
      </c>
      <c r="K284">
        <v>17000</v>
      </c>
      <c r="L284">
        <v>66000</v>
      </c>
      <c r="M284">
        <v>15000</v>
      </c>
    </row>
    <row r="285" spans="1:13" x14ac:dyDescent="0.25">
      <c r="A285" t="s">
        <v>484</v>
      </c>
      <c r="B285" t="s">
        <v>309</v>
      </c>
      <c r="C285" t="s">
        <v>22</v>
      </c>
      <c r="D285" t="s">
        <v>105</v>
      </c>
      <c r="E285" t="s">
        <v>53</v>
      </c>
      <c r="F285">
        <v>3</v>
      </c>
      <c r="G285">
        <v>1200</v>
      </c>
      <c r="H285" s="1">
        <v>45676</v>
      </c>
      <c r="I285" t="s">
        <v>54</v>
      </c>
      <c r="J285" t="s">
        <v>39</v>
      </c>
      <c r="K285">
        <v>700</v>
      </c>
      <c r="L285">
        <v>3600</v>
      </c>
      <c r="M285">
        <v>1500</v>
      </c>
    </row>
    <row r="286" spans="1:13" x14ac:dyDescent="0.25">
      <c r="A286" t="s">
        <v>485</v>
      </c>
      <c r="B286" t="s">
        <v>394</v>
      </c>
      <c r="C286" t="s">
        <v>118</v>
      </c>
      <c r="D286" t="s">
        <v>75</v>
      </c>
      <c r="E286" t="s">
        <v>17</v>
      </c>
      <c r="F286">
        <v>3</v>
      </c>
      <c r="G286">
        <v>22000</v>
      </c>
      <c r="H286" s="1">
        <v>45797</v>
      </c>
      <c r="I286" t="s">
        <v>38</v>
      </c>
      <c r="J286" t="s">
        <v>45</v>
      </c>
      <c r="K286">
        <v>17000</v>
      </c>
      <c r="L286">
        <v>66000</v>
      </c>
      <c r="M286">
        <v>15000</v>
      </c>
    </row>
    <row r="287" spans="1:13" x14ac:dyDescent="0.25">
      <c r="A287" t="s">
        <v>486</v>
      </c>
      <c r="B287" t="s">
        <v>357</v>
      </c>
      <c r="C287" t="s">
        <v>42</v>
      </c>
      <c r="D287" t="s">
        <v>78</v>
      </c>
      <c r="E287" t="s">
        <v>53</v>
      </c>
      <c r="F287">
        <v>4</v>
      </c>
      <c r="G287">
        <v>4500</v>
      </c>
      <c r="H287" s="1">
        <v>45855</v>
      </c>
      <c r="I287" t="s">
        <v>79</v>
      </c>
      <c r="J287" t="s">
        <v>45</v>
      </c>
      <c r="K287">
        <v>2900</v>
      </c>
      <c r="L287">
        <v>18000</v>
      </c>
      <c r="M287">
        <v>6400</v>
      </c>
    </row>
    <row r="288" spans="1:13" x14ac:dyDescent="0.25">
      <c r="A288" t="s">
        <v>487</v>
      </c>
      <c r="B288" t="s">
        <v>321</v>
      </c>
      <c r="C288" t="s">
        <v>22</v>
      </c>
      <c r="D288" t="s">
        <v>105</v>
      </c>
      <c r="E288" t="s">
        <v>53</v>
      </c>
      <c r="F288">
        <v>3</v>
      </c>
      <c r="G288">
        <v>1200</v>
      </c>
      <c r="H288" s="1">
        <v>45923</v>
      </c>
      <c r="I288" t="s">
        <v>44</v>
      </c>
      <c r="J288" t="s">
        <v>45</v>
      </c>
      <c r="K288">
        <v>700</v>
      </c>
      <c r="L288">
        <v>3600</v>
      </c>
      <c r="M288">
        <v>1500</v>
      </c>
    </row>
    <row r="289" spans="1:13" x14ac:dyDescent="0.25">
      <c r="A289" t="s">
        <v>488</v>
      </c>
      <c r="B289" t="s">
        <v>257</v>
      </c>
      <c r="C289" t="s">
        <v>42</v>
      </c>
      <c r="D289" t="s">
        <v>28</v>
      </c>
      <c r="E289" t="s">
        <v>17</v>
      </c>
      <c r="F289">
        <v>4</v>
      </c>
      <c r="G289">
        <v>2500</v>
      </c>
      <c r="H289" s="1">
        <v>45966</v>
      </c>
      <c r="I289" t="s">
        <v>54</v>
      </c>
      <c r="J289" t="s">
        <v>39</v>
      </c>
      <c r="K289">
        <v>1500</v>
      </c>
      <c r="L289">
        <v>10000</v>
      </c>
      <c r="M289">
        <v>4000</v>
      </c>
    </row>
    <row r="290" spans="1:13" x14ac:dyDescent="0.25">
      <c r="A290" t="s">
        <v>489</v>
      </c>
      <c r="B290" t="s">
        <v>194</v>
      </c>
      <c r="C290" t="s">
        <v>84</v>
      </c>
      <c r="D290" t="s">
        <v>16</v>
      </c>
      <c r="E290" t="s">
        <v>17</v>
      </c>
      <c r="F290">
        <v>1</v>
      </c>
      <c r="G290">
        <v>5000</v>
      </c>
      <c r="H290" s="1">
        <v>45825</v>
      </c>
      <c r="I290" t="s">
        <v>54</v>
      </c>
      <c r="J290" t="s">
        <v>45</v>
      </c>
      <c r="K290">
        <v>3200</v>
      </c>
      <c r="L290">
        <v>5000</v>
      </c>
      <c r="M290">
        <v>1800</v>
      </c>
    </row>
    <row r="291" spans="1:13" x14ac:dyDescent="0.25">
      <c r="A291" t="s">
        <v>490</v>
      </c>
      <c r="B291" t="s">
        <v>163</v>
      </c>
      <c r="C291" t="s">
        <v>121</v>
      </c>
      <c r="D291" t="s">
        <v>187</v>
      </c>
      <c r="E291" t="s">
        <v>53</v>
      </c>
      <c r="F291">
        <v>2</v>
      </c>
      <c r="G291">
        <v>3500</v>
      </c>
      <c r="H291" s="1">
        <v>46011</v>
      </c>
      <c r="I291" t="s">
        <v>38</v>
      </c>
      <c r="J291" t="s">
        <v>45</v>
      </c>
      <c r="K291">
        <v>2300</v>
      </c>
      <c r="L291">
        <v>7000</v>
      </c>
      <c r="M291">
        <v>2400</v>
      </c>
    </row>
    <row r="292" spans="1:13" x14ac:dyDescent="0.25">
      <c r="A292" t="s">
        <v>491</v>
      </c>
      <c r="B292" t="s">
        <v>184</v>
      </c>
      <c r="C292" t="s">
        <v>118</v>
      </c>
      <c r="D292" t="s">
        <v>75</v>
      </c>
      <c r="E292" t="s">
        <v>17</v>
      </c>
      <c r="F292">
        <v>3</v>
      </c>
      <c r="G292">
        <v>22000</v>
      </c>
      <c r="H292" s="1">
        <v>45972</v>
      </c>
      <c r="I292" t="s">
        <v>54</v>
      </c>
      <c r="J292" t="s">
        <v>24</v>
      </c>
      <c r="K292">
        <v>17000</v>
      </c>
      <c r="L292">
        <v>66000</v>
      </c>
      <c r="M292">
        <v>15000</v>
      </c>
    </row>
    <row r="293" spans="1:13" x14ac:dyDescent="0.25">
      <c r="A293" t="s">
        <v>492</v>
      </c>
      <c r="B293" t="s">
        <v>117</v>
      </c>
      <c r="C293" t="s">
        <v>118</v>
      </c>
      <c r="D293" t="s">
        <v>28</v>
      </c>
      <c r="E293" t="s">
        <v>17</v>
      </c>
      <c r="F293">
        <v>4</v>
      </c>
      <c r="G293">
        <v>2500</v>
      </c>
      <c r="H293" s="1">
        <v>45844</v>
      </c>
      <c r="I293" t="s">
        <v>79</v>
      </c>
      <c r="J293" t="s">
        <v>24</v>
      </c>
      <c r="K293">
        <v>1500</v>
      </c>
      <c r="L293">
        <v>10000</v>
      </c>
      <c r="M293">
        <v>4000</v>
      </c>
    </row>
    <row r="294" spans="1:13" x14ac:dyDescent="0.25">
      <c r="A294" t="s">
        <v>493</v>
      </c>
      <c r="B294" t="s">
        <v>295</v>
      </c>
      <c r="C294" t="s">
        <v>157</v>
      </c>
      <c r="D294" t="s">
        <v>43</v>
      </c>
      <c r="E294" t="s">
        <v>17</v>
      </c>
      <c r="F294">
        <v>5</v>
      </c>
      <c r="G294">
        <v>1800</v>
      </c>
      <c r="H294" s="1">
        <v>46005</v>
      </c>
      <c r="I294" t="s">
        <v>23</v>
      </c>
      <c r="J294" t="s">
        <v>19</v>
      </c>
      <c r="K294">
        <v>1100</v>
      </c>
      <c r="L294">
        <v>9000</v>
      </c>
      <c r="M294">
        <v>3500</v>
      </c>
    </row>
    <row r="295" spans="1:13" x14ac:dyDescent="0.25">
      <c r="A295" t="s">
        <v>494</v>
      </c>
      <c r="B295" t="s">
        <v>352</v>
      </c>
      <c r="C295" t="s">
        <v>121</v>
      </c>
      <c r="D295" t="s">
        <v>28</v>
      </c>
      <c r="E295" t="s">
        <v>17</v>
      </c>
      <c r="F295">
        <v>2</v>
      </c>
      <c r="G295">
        <v>2500</v>
      </c>
      <c r="H295" s="1">
        <v>45988</v>
      </c>
      <c r="I295" t="s">
        <v>38</v>
      </c>
      <c r="J295" t="s">
        <v>45</v>
      </c>
      <c r="K295">
        <v>1500</v>
      </c>
      <c r="L295">
        <v>5000</v>
      </c>
      <c r="M295">
        <v>2000</v>
      </c>
    </row>
    <row r="296" spans="1:13" x14ac:dyDescent="0.25">
      <c r="A296" t="s">
        <v>495</v>
      </c>
      <c r="B296" t="s">
        <v>431</v>
      </c>
      <c r="C296" t="s">
        <v>84</v>
      </c>
      <c r="D296" t="s">
        <v>75</v>
      </c>
      <c r="E296" t="s">
        <v>17</v>
      </c>
      <c r="F296">
        <v>5</v>
      </c>
      <c r="G296">
        <v>22000</v>
      </c>
      <c r="H296" s="1">
        <v>45736</v>
      </c>
      <c r="I296" t="s">
        <v>38</v>
      </c>
      <c r="J296" t="s">
        <v>39</v>
      </c>
      <c r="K296">
        <v>17000</v>
      </c>
      <c r="L296">
        <v>110000</v>
      </c>
      <c r="M296">
        <v>25000</v>
      </c>
    </row>
    <row r="297" spans="1:13" x14ac:dyDescent="0.25">
      <c r="A297" t="s">
        <v>496</v>
      </c>
      <c r="B297" t="s">
        <v>83</v>
      </c>
      <c r="C297" t="s">
        <v>84</v>
      </c>
      <c r="D297" t="s">
        <v>67</v>
      </c>
      <c r="E297" t="s">
        <v>53</v>
      </c>
      <c r="F297">
        <v>1</v>
      </c>
      <c r="G297">
        <v>2800</v>
      </c>
      <c r="H297" s="1">
        <v>45951</v>
      </c>
      <c r="I297" t="s">
        <v>38</v>
      </c>
      <c r="J297" t="s">
        <v>45</v>
      </c>
      <c r="K297">
        <v>1800</v>
      </c>
      <c r="L297">
        <v>2800</v>
      </c>
      <c r="M297">
        <v>1000</v>
      </c>
    </row>
    <row r="298" spans="1:13" x14ac:dyDescent="0.25">
      <c r="A298" t="s">
        <v>497</v>
      </c>
      <c r="B298" t="s">
        <v>186</v>
      </c>
      <c r="C298" t="s">
        <v>27</v>
      </c>
      <c r="D298" t="s">
        <v>112</v>
      </c>
      <c r="E298" t="s">
        <v>34</v>
      </c>
      <c r="F298">
        <v>3</v>
      </c>
      <c r="G298">
        <v>1500</v>
      </c>
      <c r="H298" s="1">
        <v>45785</v>
      </c>
      <c r="I298" t="s">
        <v>23</v>
      </c>
      <c r="J298" t="s">
        <v>19</v>
      </c>
      <c r="K298">
        <v>900</v>
      </c>
      <c r="L298">
        <v>4500</v>
      </c>
      <c r="M298">
        <v>1800</v>
      </c>
    </row>
    <row r="299" spans="1:13" x14ac:dyDescent="0.25">
      <c r="A299" t="s">
        <v>498</v>
      </c>
      <c r="B299" t="s">
        <v>363</v>
      </c>
      <c r="C299" t="s">
        <v>70</v>
      </c>
      <c r="D299" t="s">
        <v>105</v>
      </c>
      <c r="E299" t="s">
        <v>53</v>
      </c>
      <c r="F299">
        <v>5</v>
      </c>
      <c r="G299">
        <v>1200</v>
      </c>
      <c r="H299" s="1">
        <v>45856</v>
      </c>
      <c r="I299" t="s">
        <v>44</v>
      </c>
      <c r="J299" t="s">
        <v>39</v>
      </c>
      <c r="K299">
        <v>700</v>
      </c>
      <c r="L299">
        <v>6000</v>
      </c>
      <c r="M299">
        <v>2500</v>
      </c>
    </row>
    <row r="300" spans="1:13" x14ac:dyDescent="0.25">
      <c r="A300" t="s">
        <v>499</v>
      </c>
      <c r="B300" t="s">
        <v>198</v>
      </c>
      <c r="C300" t="s">
        <v>121</v>
      </c>
      <c r="D300" t="s">
        <v>37</v>
      </c>
      <c r="E300" t="s">
        <v>34</v>
      </c>
      <c r="F300">
        <v>4</v>
      </c>
      <c r="G300">
        <v>3000</v>
      </c>
      <c r="H300" s="1">
        <v>45767</v>
      </c>
      <c r="I300" t="s">
        <v>35</v>
      </c>
      <c r="J300" t="s">
        <v>19</v>
      </c>
      <c r="K300">
        <v>1900</v>
      </c>
      <c r="L300">
        <v>12000</v>
      </c>
      <c r="M300">
        <v>4400</v>
      </c>
    </row>
    <row r="301" spans="1:13" x14ac:dyDescent="0.25">
      <c r="A301" t="s">
        <v>500</v>
      </c>
      <c r="B301" t="s">
        <v>431</v>
      </c>
      <c r="C301" t="s">
        <v>84</v>
      </c>
      <c r="D301" t="s">
        <v>16</v>
      </c>
      <c r="E301" t="s">
        <v>17</v>
      </c>
      <c r="F301">
        <v>2</v>
      </c>
      <c r="G301">
        <v>5000</v>
      </c>
      <c r="H301" s="1">
        <v>45695</v>
      </c>
      <c r="I301" t="s">
        <v>79</v>
      </c>
      <c r="J301" t="s">
        <v>45</v>
      </c>
      <c r="K301">
        <v>3200</v>
      </c>
      <c r="L301">
        <v>10000</v>
      </c>
      <c r="M301">
        <v>3600</v>
      </c>
    </row>
    <row r="302" spans="1:13" x14ac:dyDescent="0.25">
      <c r="A302" t="s">
        <v>501</v>
      </c>
      <c r="B302" t="s">
        <v>246</v>
      </c>
      <c r="C302" t="s">
        <v>22</v>
      </c>
      <c r="D302" t="s">
        <v>28</v>
      </c>
      <c r="E302" t="s">
        <v>17</v>
      </c>
      <c r="F302">
        <v>3</v>
      </c>
      <c r="G302">
        <v>2500</v>
      </c>
      <c r="H302" s="1">
        <v>45999</v>
      </c>
      <c r="I302" t="s">
        <v>44</v>
      </c>
      <c r="J302" t="s">
        <v>29</v>
      </c>
      <c r="K302">
        <v>1500</v>
      </c>
      <c r="L302">
        <v>7500</v>
      </c>
      <c r="M302">
        <v>3000</v>
      </c>
    </row>
    <row r="303" spans="1:13" x14ac:dyDescent="0.25">
      <c r="A303" t="s">
        <v>502</v>
      </c>
      <c r="B303" t="s">
        <v>86</v>
      </c>
      <c r="C303" t="s">
        <v>51</v>
      </c>
      <c r="D303" t="s">
        <v>52</v>
      </c>
      <c r="E303" t="s">
        <v>53</v>
      </c>
      <c r="F303">
        <v>3</v>
      </c>
      <c r="G303">
        <v>700</v>
      </c>
      <c r="H303" s="1">
        <v>45811</v>
      </c>
      <c r="I303" t="s">
        <v>79</v>
      </c>
      <c r="J303" t="s">
        <v>39</v>
      </c>
      <c r="K303">
        <v>350</v>
      </c>
      <c r="L303">
        <v>2100</v>
      </c>
      <c r="M303">
        <v>1050</v>
      </c>
    </row>
    <row r="304" spans="1:13" x14ac:dyDescent="0.25">
      <c r="A304" t="s">
        <v>503</v>
      </c>
      <c r="B304" t="s">
        <v>482</v>
      </c>
      <c r="C304" t="s">
        <v>118</v>
      </c>
      <c r="D304" t="s">
        <v>97</v>
      </c>
      <c r="E304" t="s">
        <v>53</v>
      </c>
      <c r="F304">
        <v>2</v>
      </c>
      <c r="G304">
        <v>1000</v>
      </c>
      <c r="H304" s="1">
        <v>45720</v>
      </c>
      <c r="I304" t="s">
        <v>79</v>
      </c>
      <c r="J304" t="s">
        <v>19</v>
      </c>
      <c r="K304">
        <v>600</v>
      </c>
      <c r="L304">
        <v>2000</v>
      </c>
      <c r="M304">
        <v>800</v>
      </c>
    </row>
    <row r="305" spans="1:13" x14ac:dyDescent="0.25">
      <c r="A305" t="s">
        <v>504</v>
      </c>
      <c r="B305" t="s">
        <v>111</v>
      </c>
      <c r="C305" t="s">
        <v>102</v>
      </c>
      <c r="D305" t="s">
        <v>105</v>
      </c>
      <c r="E305" t="s">
        <v>53</v>
      </c>
      <c r="F305">
        <v>1</v>
      </c>
      <c r="G305">
        <v>1200</v>
      </c>
      <c r="H305" s="1">
        <v>45842</v>
      </c>
      <c r="I305" t="s">
        <v>38</v>
      </c>
      <c r="J305" t="s">
        <v>45</v>
      </c>
      <c r="K305">
        <v>700</v>
      </c>
      <c r="L305">
        <v>1200</v>
      </c>
      <c r="M305">
        <v>500</v>
      </c>
    </row>
    <row r="306" spans="1:13" x14ac:dyDescent="0.25">
      <c r="A306" t="s">
        <v>505</v>
      </c>
      <c r="B306" t="s">
        <v>306</v>
      </c>
      <c r="C306" t="s">
        <v>15</v>
      </c>
      <c r="D306" t="s">
        <v>52</v>
      </c>
      <c r="E306" t="s">
        <v>53</v>
      </c>
      <c r="F306">
        <v>2</v>
      </c>
      <c r="G306">
        <v>700</v>
      </c>
      <c r="H306" s="1">
        <v>45971</v>
      </c>
      <c r="I306" t="s">
        <v>44</v>
      </c>
      <c r="J306" t="s">
        <v>39</v>
      </c>
      <c r="K306">
        <v>350</v>
      </c>
      <c r="L306">
        <v>1400</v>
      </c>
      <c r="M306">
        <v>700</v>
      </c>
    </row>
    <row r="307" spans="1:13" x14ac:dyDescent="0.25">
      <c r="A307" t="s">
        <v>506</v>
      </c>
      <c r="B307" t="s">
        <v>454</v>
      </c>
      <c r="C307" t="s">
        <v>61</v>
      </c>
      <c r="D307" t="s">
        <v>78</v>
      </c>
      <c r="E307" t="s">
        <v>53</v>
      </c>
      <c r="F307">
        <v>4</v>
      </c>
      <c r="G307">
        <v>4500</v>
      </c>
      <c r="H307" s="1">
        <v>45927</v>
      </c>
      <c r="I307" t="s">
        <v>63</v>
      </c>
      <c r="J307" t="s">
        <v>29</v>
      </c>
      <c r="K307">
        <v>2900</v>
      </c>
      <c r="L307">
        <v>18000</v>
      </c>
      <c r="M307">
        <v>6400</v>
      </c>
    </row>
    <row r="308" spans="1:13" x14ac:dyDescent="0.25">
      <c r="A308" t="s">
        <v>507</v>
      </c>
      <c r="B308" t="s">
        <v>148</v>
      </c>
      <c r="C308" t="s">
        <v>133</v>
      </c>
      <c r="D308" t="s">
        <v>28</v>
      </c>
      <c r="E308" t="s">
        <v>17</v>
      </c>
      <c r="F308">
        <v>2</v>
      </c>
      <c r="G308">
        <v>2500</v>
      </c>
      <c r="H308" s="1">
        <v>45820</v>
      </c>
      <c r="I308" t="s">
        <v>35</v>
      </c>
      <c r="J308" t="s">
        <v>45</v>
      </c>
      <c r="K308">
        <v>1500</v>
      </c>
      <c r="L308">
        <v>5000</v>
      </c>
      <c r="M308">
        <v>2000</v>
      </c>
    </row>
    <row r="309" spans="1:13" x14ac:dyDescent="0.25">
      <c r="A309" t="s">
        <v>508</v>
      </c>
      <c r="B309" t="s">
        <v>111</v>
      </c>
      <c r="C309" t="s">
        <v>102</v>
      </c>
      <c r="D309" t="s">
        <v>97</v>
      </c>
      <c r="E309" t="s">
        <v>53</v>
      </c>
      <c r="F309">
        <v>3</v>
      </c>
      <c r="G309">
        <v>1000</v>
      </c>
      <c r="H309" s="1">
        <v>45723</v>
      </c>
      <c r="I309" t="s">
        <v>79</v>
      </c>
      <c r="J309" t="s">
        <v>19</v>
      </c>
      <c r="K309">
        <v>600</v>
      </c>
      <c r="L309">
        <v>3000</v>
      </c>
      <c r="M309">
        <v>1200</v>
      </c>
    </row>
    <row r="310" spans="1:13" x14ac:dyDescent="0.25">
      <c r="A310" t="s">
        <v>509</v>
      </c>
      <c r="B310" t="s">
        <v>394</v>
      </c>
      <c r="C310" t="s">
        <v>118</v>
      </c>
      <c r="D310" t="s">
        <v>187</v>
      </c>
      <c r="E310" t="s">
        <v>53</v>
      </c>
      <c r="F310">
        <v>5</v>
      </c>
      <c r="G310">
        <v>3500</v>
      </c>
      <c r="H310" s="1">
        <v>45686</v>
      </c>
      <c r="I310" t="s">
        <v>79</v>
      </c>
      <c r="J310" t="s">
        <v>39</v>
      </c>
      <c r="K310">
        <v>2300</v>
      </c>
      <c r="L310">
        <v>17500</v>
      </c>
      <c r="M310">
        <v>6000</v>
      </c>
    </row>
    <row r="311" spans="1:13" x14ac:dyDescent="0.25">
      <c r="A311" t="s">
        <v>510</v>
      </c>
      <c r="B311" t="s">
        <v>511</v>
      </c>
      <c r="C311" t="s">
        <v>57</v>
      </c>
      <c r="D311" t="s">
        <v>173</v>
      </c>
      <c r="E311" t="s">
        <v>17</v>
      </c>
      <c r="F311">
        <v>2</v>
      </c>
      <c r="G311">
        <v>900</v>
      </c>
      <c r="H311" s="1">
        <v>45823</v>
      </c>
      <c r="I311" t="s">
        <v>38</v>
      </c>
      <c r="J311" t="s">
        <v>29</v>
      </c>
      <c r="K311">
        <v>500</v>
      </c>
      <c r="L311">
        <v>1800</v>
      </c>
      <c r="M311">
        <v>800</v>
      </c>
    </row>
    <row r="312" spans="1:13" x14ac:dyDescent="0.25">
      <c r="A312" t="s">
        <v>512</v>
      </c>
      <c r="B312" t="s">
        <v>289</v>
      </c>
      <c r="C312" t="s">
        <v>191</v>
      </c>
      <c r="D312" t="s">
        <v>62</v>
      </c>
      <c r="E312" t="s">
        <v>34</v>
      </c>
      <c r="F312">
        <v>1</v>
      </c>
      <c r="G312">
        <v>2200</v>
      </c>
      <c r="H312" s="1">
        <v>45786</v>
      </c>
      <c r="I312" t="s">
        <v>54</v>
      </c>
      <c r="J312" t="s">
        <v>19</v>
      </c>
      <c r="K312">
        <v>1400</v>
      </c>
      <c r="L312">
        <v>2200</v>
      </c>
      <c r="M312">
        <v>800</v>
      </c>
    </row>
    <row r="313" spans="1:13" x14ac:dyDescent="0.25">
      <c r="A313" t="s">
        <v>513</v>
      </c>
      <c r="B313" t="s">
        <v>433</v>
      </c>
      <c r="C313" t="s">
        <v>70</v>
      </c>
      <c r="D313" t="s">
        <v>62</v>
      </c>
      <c r="E313" t="s">
        <v>34</v>
      </c>
      <c r="F313">
        <v>5</v>
      </c>
      <c r="G313">
        <v>2200</v>
      </c>
      <c r="H313" s="1">
        <v>45931</v>
      </c>
      <c r="I313" t="s">
        <v>79</v>
      </c>
      <c r="J313" t="s">
        <v>29</v>
      </c>
      <c r="K313">
        <v>1400</v>
      </c>
      <c r="L313">
        <v>11000</v>
      </c>
      <c r="M313">
        <v>4000</v>
      </c>
    </row>
    <row r="314" spans="1:13" x14ac:dyDescent="0.25">
      <c r="A314" t="s">
        <v>514</v>
      </c>
      <c r="B314" t="s">
        <v>357</v>
      </c>
      <c r="C314" t="s">
        <v>42</v>
      </c>
      <c r="D314" t="s">
        <v>43</v>
      </c>
      <c r="E314" t="s">
        <v>17</v>
      </c>
      <c r="F314">
        <v>2</v>
      </c>
      <c r="G314">
        <v>1800</v>
      </c>
      <c r="H314" s="1">
        <v>45995</v>
      </c>
      <c r="I314" t="s">
        <v>23</v>
      </c>
      <c r="J314" t="s">
        <v>24</v>
      </c>
      <c r="K314">
        <v>1100</v>
      </c>
      <c r="L314">
        <v>3600</v>
      </c>
      <c r="M314">
        <v>1400</v>
      </c>
    </row>
    <row r="315" spans="1:13" x14ac:dyDescent="0.25">
      <c r="A315" t="s">
        <v>515</v>
      </c>
      <c r="B315" t="s">
        <v>206</v>
      </c>
      <c r="C315" t="s">
        <v>48</v>
      </c>
      <c r="D315" t="s">
        <v>28</v>
      </c>
      <c r="E315" t="s">
        <v>17</v>
      </c>
      <c r="F315">
        <v>1</v>
      </c>
      <c r="G315">
        <v>2500</v>
      </c>
      <c r="H315" s="1">
        <v>45986</v>
      </c>
      <c r="I315" t="s">
        <v>54</v>
      </c>
      <c r="J315" t="s">
        <v>19</v>
      </c>
      <c r="K315">
        <v>1500</v>
      </c>
      <c r="L315">
        <v>2500</v>
      </c>
      <c r="M315">
        <v>1000</v>
      </c>
    </row>
    <row r="316" spans="1:13" x14ac:dyDescent="0.25">
      <c r="A316" t="s">
        <v>516</v>
      </c>
      <c r="B316" t="s">
        <v>229</v>
      </c>
      <c r="C316" t="s">
        <v>48</v>
      </c>
      <c r="D316" t="s">
        <v>187</v>
      </c>
      <c r="E316" t="s">
        <v>53</v>
      </c>
      <c r="F316">
        <v>5</v>
      </c>
      <c r="G316">
        <v>3500</v>
      </c>
      <c r="H316" s="1">
        <v>45985</v>
      </c>
      <c r="I316" t="s">
        <v>35</v>
      </c>
      <c r="J316" t="s">
        <v>29</v>
      </c>
      <c r="K316">
        <v>2300</v>
      </c>
      <c r="L316">
        <v>17500</v>
      </c>
      <c r="M316">
        <v>6000</v>
      </c>
    </row>
    <row r="317" spans="1:13" x14ac:dyDescent="0.25">
      <c r="A317" t="s">
        <v>517</v>
      </c>
      <c r="B317" t="s">
        <v>14</v>
      </c>
      <c r="C317" t="s">
        <v>15</v>
      </c>
      <c r="D317" t="s">
        <v>62</v>
      </c>
      <c r="E317" t="s">
        <v>34</v>
      </c>
      <c r="F317">
        <v>3</v>
      </c>
      <c r="G317">
        <v>2200</v>
      </c>
      <c r="H317" s="1">
        <v>45905</v>
      </c>
      <c r="I317" t="s">
        <v>63</v>
      </c>
      <c r="J317" t="s">
        <v>39</v>
      </c>
      <c r="K317">
        <v>1400</v>
      </c>
      <c r="L317">
        <v>6600</v>
      </c>
      <c r="M317">
        <v>2400</v>
      </c>
    </row>
    <row r="318" spans="1:13" x14ac:dyDescent="0.25">
      <c r="A318" t="s">
        <v>518</v>
      </c>
      <c r="B318" t="s">
        <v>114</v>
      </c>
      <c r="C318" t="s">
        <v>84</v>
      </c>
      <c r="D318" t="s">
        <v>67</v>
      </c>
      <c r="E318" t="s">
        <v>53</v>
      </c>
      <c r="F318">
        <v>1</v>
      </c>
      <c r="G318">
        <v>2800</v>
      </c>
      <c r="H318" s="1">
        <v>46010</v>
      </c>
      <c r="I318" t="s">
        <v>79</v>
      </c>
      <c r="J318" t="s">
        <v>45</v>
      </c>
      <c r="K318">
        <v>1800</v>
      </c>
      <c r="L318">
        <v>2800</v>
      </c>
      <c r="M318">
        <v>1000</v>
      </c>
    </row>
    <row r="319" spans="1:13" x14ac:dyDescent="0.25">
      <c r="A319" t="s">
        <v>519</v>
      </c>
      <c r="B319" t="s">
        <v>311</v>
      </c>
      <c r="C319" t="s">
        <v>157</v>
      </c>
      <c r="D319" t="s">
        <v>187</v>
      </c>
      <c r="E319" t="s">
        <v>53</v>
      </c>
      <c r="F319">
        <v>4</v>
      </c>
      <c r="G319">
        <v>3500</v>
      </c>
      <c r="H319" s="1">
        <v>45895</v>
      </c>
      <c r="I319" t="s">
        <v>38</v>
      </c>
      <c r="J319" t="s">
        <v>29</v>
      </c>
      <c r="K319">
        <v>2300</v>
      </c>
      <c r="L319">
        <v>14000</v>
      </c>
      <c r="M319">
        <v>4800</v>
      </c>
    </row>
    <row r="320" spans="1:13" x14ac:dyDescent="0.25">
      <c r="A320" t="s">
        <v>520</v>
      </c>
      <c r="B320" t="s">
        <v>246</v>
      </c>
      <c r="C320" t="s">
        <v>22</v>
      </c>
      <c r="D320" t="s">
        <v>43</v>
      </c>
      <c r="E320" t="s">
        <v>17</v>
      </c>
      <c r="F320">
        <v>3</v>
      </c>
      <c r="G320">
        <v>1800</v>
      </c>
      <c r="H320" s="1">
        <v>45821</v>
      </c>
      <c r="I320" t="s">
        <v>63</v>
      </c>
      <c r="J320" t="s">
        <v>19</v>
      </c>
      <c r="K320">
        <v>1100</v>
      </c>
      <c r="L320">
        <v>5400</v>
      </c>
      <c r="M320">
        <v>2100</v>
      </c>
    </row>
    <row r="321" spans="1:13" x14ac:dyDescent="0.25">
      <c r="A321" t="s">
        <v>521</v>
      </c>
      <c r="B321" t="s">
        <v>127</v>
      </c>
      <c r="C321" t="s">
        <v>48</v>
      </c>
      <c r="D321" t="s">
        <v>58</v>
      </c>
      <c r="E321" t="s">
        <v>34</v>
      </c>
      <c r="F321">
        <v>5</v>
      </c>
      <c r="G321">
        <v>2500</v>
      </c>
      <c r="H321" s="1">
        <v>45945</v>
      </c>
      <c r="I321" t="s">
        <v>38</v>
      </c>
      <c r="J321" t="s">
        <v>19</v>
      </c>
      <c r="K321">
        <v>1600</v>
      </c>
      <c r="L321">
        <v>12500</v>
      </c>
      <c r="M321">
        <v>4500</v>
      </c>
    </row>
    <row r="322" spans="1:13" x14ac:dyDescent="0.25">
      <c r="A322" t="s">
        <v>522</v>
      </c>
      <c r="B322" t="s">
        <v>431</v>
      </c>
      <c r="C322" t="s">
        <v>84</v>
      </c>
      <c r="D322" t="s">
        <v>67</v>
      </c>
      <c r="E322" t="s">
        <v>53</v>
      </c>
      <c r="F322">
        <v>1</v>
      </c>
      <c r="G322">
        <v>2800</v>
      </c>
      <c r="H322" s="1">
        <v>45794</v>
      </c>
      <c r="I322" t="s">
        <v>18</v>
      </c>
      <c r="J322" t="s">
        <v>19</v>
      </c>
      <c r="K322">
        <v>1800</v>
      </c>
      <c r="L322">
        <v>2800</v>
      </c>
      <c r="M322">
        <v>1000</v>
      </c>
    </row>
    <row r="323" spans="1:13" x14ac:dyDescent="0.25">
      <c r="A323" t="s">
        <v>523</v>
      </c>
      <c r="B323" t="s">
        <v>344</v>
      </c>
      <c r="C323" t="s">
        <v>133</v>
      </c>
      <c r="D323" t="s">
        <v>16</v>
      </c>
      <c r="E323" t="s">
        <v>17</v>
      </c>
      <c r="F323">
        <v>1</v>
      </c>
      <c r="G323">
        <v>5000</v>
      </c>
      <c r="H323" s="1">
        <v>45806</v>
      </c>
      <c r="I323" t="s">
        <v>63</v>
      </c>
      <c r="J323" t="s">
        <v>19</v>
      </c>
      <c r="K323">
        <v>3200</v>
      </c>
      <c r="L323">
        <v>5000</v>
      </c>
      <c r="M323">
        <v>1800</v>
      </c>
    </row>
    <row r="324" spans="1:13" x14ac:dyDescent="0.25">
      <c r="A324" t="s">
        <v>524</v>
      </c>
      <c r="B324" t="s">
        <v>74</v>
      </c>
      <c r="C324" t="s">
        <v>51</v>
      </c>
      <c r="D324" t="s">
        <v>173</v>
      </c>
      <c r="E324" t="s">
        <v>17</v>
      </c>
      <c r="F324">
        <v>3</v>
      </c>
      <c r="G324">
        <v>900</v>
      </c>
      <c r="H324" s="1">
        <v>45953</v>
      </c>
      <c r="I324" t="s">
        <v>18</v>
      </c>
      <c r="J324" t="s">
        <v>19</v>
      </c>
      <c r="K324">
        <v>500</v>
      </c>
      <c r="L324">
        <v>2700</v>
      </c>
      <c r="M324">
        <v>1200</v>
      </c>
    </row>
    <row r="325" spans="1:13" x14ac:dyDescent="0.25">
      <c r="A325" t="s">
        <v>525</v>
      </c>
      <c r="B325" t="s">
        <v>526</v>
      </c>
      <c r="C325" t="s">
        <v>48</v>
      </c>
      <c r="D325" t="s">
        <v>105</v>
      </c>
      <c r="E325" t="s">
        <v>53</v>
      </c>
      <c r="F325">
        <v>5</v>
      </c>
      <c r="G325">
        <v>1200</v>
      </c>
      <c r="H325" s="1">
        <v>45897</v>
      </c>
      <c r="I325" t="s">
        <v>54</v>
      </c>
      <c r="J325" t="s">
        <v>45</v>
      </c>
      <c r="K325">
        <v>700</v>
      </c>
      <c r="L325">
        <v>6000</v>
      </c>
      <c r="M325">
        <v>2500</v>
      </c>
    </row>
    <row r="326" spans="1:13" x14ac:dyDescent="0.25">
      <c r="A326" t="s">
        <v>527</v>
      </c>
      <c r="B326" t="s">
        <v>26</v>
      </c>
      <c r="C326" t="s">
        <v>27</v>
      </c>
      <c r="D326" t="s">
        <v>92</v>
      </c>
      <c r="E326" t="s">
        <v>17</v>
      </c>
      <c r="F326">
        <v>1</v>
      </c>
      <c r="G326">
        <v>55000</v>
      </c>
      <c r="H326" s="1">
        <v>45859</v>
      </c>
      <c r="I326" t="s">
        <v>35</v>
      </c>
      <c r="J326" t="s">
        <v>19</v>
      </c>
      <c r="K326">
        <v>42000</v>
      </c>
      <c r="L326">
        <v>55000</v>
      </c>
      <c r="M326">
        <v>13000</v>
      </c>
    </row>
    <row r="327" spans="1:13" x14ac:dyDescent="0.25">
      <c r="A327" t="s">
        <v>528</v>
      </c>
      <c r="B327" t="s">
        <v>529</v>
      </c>
      <c r="C327" t="s">
        <v>157</v>
      </c>
      <c r="D327" t="s">
        <v>33</v>
      </c>
      <c r="E327" t="s">
        <v>34</v>
      </c>
      <c r="F327">
        <v>5</v>
      </c>
      <c r="G327">
        <v>800</v>
      </c>
      <c r="H327" s="1">
        <v>45838</v>
      </c>
      <c r="I327" t="s">
        <v>23</v>
      </c>
      <c r="J327" t="s">
        <v>39</v>
      </c>
      <c r="K327">
        <v>450</v>
      </c>
      <c r="L327">
        <v>4000</v>
      </c>
      <c r="M327">
        <v>1750</v>
      </c>
    </row>
    <row r="328" spans="1:13" x14ac:dyDescent="0.25">
      <c r="A328" t="s">
        <v>530</v>
      </c>
      <c r="B328" t="s">
        <v>286</v>
      </c>
      <c r="C328" t="s">
        <v>51</v>
      </c>
      <c r="D328" t="s">
        <v>105</v>
      </c>
      <c r="E328" t="s">
        <v>53</v>
      </c>
      <c r="F328">
        <v>5</v>
      </c>
      <c r="G328">
        <v>1200</v>
      </c>
      <c r="H328" s="1">
        <v>45992</v>
      </c>
      <c r="I328" t="s">
        <v>54</v>
      </c>
      <c r="J328" t="s">
        <v>29</v>
      </c>
      <c r="K328">
        <v>700</v>
      </c>
      <c r="L328">
        <v>6000</v>
      </c>
      <c r="M328">
        <v>2500</v>
      </c>
    </row>
    <row r="329" spans="1:13" x14ac:dyDescent="0.25">
      <c r="A329" t="s">
        <v>531</v>
      </c>
      <c r="B329" t="s">
        <v>319</v>
      </c>
      <c r="C329" t="s">
        <v>66</v>
      </c>
      <c r="D329" t="s">
        <v>92</v>
      </c>
      <c r="E329" t="s">
        <v>17</v>
      </c>
      <c r="F329">
        <v>1</v>
      </c>
      <c r="G329">
        <v>55000</v>
      </c>
      <c r="H329" s="1">
        <v>45878</v>
      </c>
      <c r="I329" t="s">
        <v>54</v>
      </c>
      <c r="J329" t="s">
        <v>39</v>
      </c>
      <c r="K329">
        <v>42000</v>
      </c>
      <c r="L329">
        <v>55000</v>
      </c>
      <c r="M329">
        <v>13000</v>
      </c>
    </row>
    <row r="330" spans="1:13" x14ac:dyDescent="0.25">
      <c r="A330" t="s">
        <v>532</v>
      </c>
      <c r="B330" t="s">
        <v>107</v>
      </c>
      <c r="C330" t="s">
        <v>15</v>
      </c>
      <c r="D330" t="s">
        <v>78</v>
      </c>
      <c r="E330" t="s">
        <v>53</v>
      </c>
      <c r="F330">
        <v>3</v>
      </c>
      <c r="G330">
        <v>4500</v>
      </c>
      <c r="H330" s="1">
        <v>45681</v>
      </c>
      <c r="I330" t="s">
        <v>23</v>
      </c>
      <c r="J330" t="s">
        <v>29</v>
      </c>
      <c r="K330">
        <v>2900</v>
      </c>
      <c r="L330">
        <v>13500</v>
      </c>
      <c r="M330">
        <v>4800</v>
      </c>
    </row>
    <row r="331" spans="1:13" x14ac:dyDescent="0.25">
      <c r="A331" t="s">
        <v>533</v>
      </c>
      <c r="B331" t="s">
        <v>111</v>
      </c>
      <c r="C331" t="s">
        <v>102</v>
      </c>
      <c r="D331" t="s">
        <v>52</v>
      </c>
      <c r="E331" t="s">
        <v>53</v>
      </c>
      <c r="F331">
        <v>2</v>
      </c>
      <c r="G331">
        <v>700</v>
      </c>
      <c r="H331" s="1">
        <v>45843</v>
      </c>
      <c r="I331" t="s">
        <v>54</v>
      </c>
      <c r="J331" t="s">
        <v>24</v>
      </c>
      <c r="K331">
        <v>350</v>
      </c>
      <c r="L331">
        <v>1400</v>
      </c>
      <c r="M331">
        <v>700</v>
      </c>
    </row>
    <row r="332" spans="1:13" x14ac:dyDescent="0.25">
      <c r="A332" t="s">
        <v>534</v>
      </c>
      <c r="B332" t="s">
        <v>469</v>
      </c>
      <c r="C332" t="s">
        <v>51</v>
      </c>
      <c r="D332" t="s">
        <v>78</v>
      </c>
      <c r="E332" t="s">
        <v>53</v>
      </c>
      <c r="F332">
        <v>5</v>
      </c>
      <c r="G332">
        <v>4500</v>
      </c>
      <c r="H332" s="1">
        <v>45888</v>
      </c>
      <c r="I332" t="s">
        <v>54</v>
      </c>
      <c r="J332" t="s">
        <v>29</v>
      </c>
      <c r="K332">
        <v>2900</v>
      </c>
      <c r="L332">
        <v>22500</v>
      </c>
      <c r="M332">
        <v>8000</v>
      </c>
    </row>
    <row r="333" spans="1:13" x14ac:dyDescent="0.25">
      <c r="A333" t="s">
        <v>535</v>
      </c>
      <c r="B333" t="s">
        <v>445</v>
      </c>
      <c r="C333" t="s">
        <v>51</v>
      </c>
      <c r="D333" t="s">
        <v>16</v>
      </c>
      <c r="E333" t="s">
        <v>17</v>
      </c>
      <c r="F333">
        <v>2</v>
      </c>
      <c r="G333">
        <v>5000</v>
      </c>
      <c r="H333" s="1">
        <v>45707</v>
      </c>
      <c r="I333" t="s">
        <v>38</v>
      </c>
      <c r="J333" t="s">
        <v>39</v>
      </c>
      <c r="K333">
        <v>3200</v>
      </c>
      <c r="L333">
        <v>10000</v>
      </c>
      <c r="M333">
        <v>3600</v>
      </c>
    </row>
    <row r="334" spans="1:13" x14ac:dyDescent="0.25">
      <c r="A334" t="s">
        <v>536</v>
      </c>
      <c r="B334" t="s">
        <v>289</v>
      </c>
      <c r="C334" t="s">
        <v>191</v>
      </c>
      <c r="D334" t="s">
        <v>52</v>
      </c>
      <c r="E334" t="s">
        <v>53</v>
      </c>
      <c r="F334">
        <v>3</v>
      </c>
      <c r="G334">
        <v>700</v>
      </c>
      <c r="H334" s="1">
        <v>45731</v>
      </c>
      <c r="I334" t="s">
        <v>63</v>
      </c>
      <c r="J334" t="s">
        <v>29</v>
      </c>
      <c r="K334">
        <v>350</v>
      </c>
      <c r="L334">
        <v>2100</v>
      </c>
      <c r="M334">
        <v>1050</v>
      </c>
    </row>
    <row r="335" spans="1:13" x14ac:dyDescent="0.25">
      <c r="A335" t="s">
        <v>537</v>
      </c>
      <c r="B335" t="s">
        <v>83</v>
      </c>
      <c r="C335" t="s">
        <v>84</v>
      </c>
      <c r="D335" t="s">
        <v>75</v>
      </c>
      <c r="E335" t="s">
        <v>17</v>
      </c>
      <c r="F335">
        <v>1</v>
      </c>
      <c r="G335">
        <v>22000</v>
      </c>
      <c r="H335" s="1">
        <v>45677</v>
      </c>
      <c r="I335" t="s">
        <v>38</v>
      </c>
      <c r="J335" t="s">
        <v>45</v>
      </c>
      <c r="K335">
        <v>17000</v>
      </c>
      <c r="L335">
        <v>22000</v>
      </c>
      <c r="M335">
        <v>5000</v>
      </c>
    </row>
    <row r="336" spans="1:13" x14ac:dyDescent="0.25">
      <c r="A336" t="s">
        <v>538</v>
      </c>
      <c r="B336" t="s">
        <v>117</v>
      </c>
      <c r="C336" t="s">
        <v>118</v>
      </c>
      <c r="D336" t="s">
        <v>97</v>
      </c>
      <c r="E336" t="s">
        <v>53</v>
      </c>
      <c r="F336">
        <v>4</v>
      </c>
      <c r="G336">
        <v>1000</v>
      </c>
      <c r="H336" s="1">
        <v>45734</v>
      </c>
      <c r="I336" t="s">
        <v>79</v>
      </c>
      <c r="J336" t="s">
        <v>39</v>
      </c>
      <c r="K336">
        <v>600</v>
      </c>
      <c r="L336">
        <v>4000</v>
      </c>
      <c r="M336">
        <v>1600</v>
      </c>
    </row>
    <row r="337" spans="1:13" x14ac:dyDescent="0.25">
      <c r="A337" t="s">
        <v>539</v>
      </c>
      <c r="B337" t="s">
        <v>282</v>
      </c>
      <c r="C337" t="s">
        <v>32</v>
      </c>
      <c r="D337" t="s">
        <v>112</v>
      </c>
      <c r="E337" t="s">
        <v>34</v>
      </c>
      <c r="F337">
        <v>2</v>
      </c>
      <c r="G337">
        <v>1500</v>
      </c>
      <c r="H337" s="1">
        <v>45859</v>
      </c>
      <c r="I337" t="s">
        <v>38</v>
      </c>
      <c r="J337" t="s">
        <v>29</v>
      </c>
      <c r="K337">
        <v>900</v>
      </c>
      <c r="L337">
        <v>3000</v>
      </c>
      <c r="M337">
        <v>1200</v>
      </c>
    </row>
    <row r="338" spans="1:13" x14ac:dyDescent="0.25">
      <c r="A338" t="s">
        <v>540</v>
      </c>
      <c r="B338" t="s">
        <v>278</v>
      </c>
      <c r="C338" t="s">
        <v>124</v>
      </c>
      <c r="D338" t="s">
        <v>97</v>
      </c>
      <c r="E338" t="s">
        <v>53</v>
      </c>
      <c r="F338">
        <v>5</v>
      </c>
      <c r="G338">
        <v>1000</v>
      </c>
      <c r="H338" s="1">
        <v>45908</v>
      </c>
      <c r="I338" t="s">
        <v>54</v>
      </c>
      <c r="J338" t="s">
        <v>45</v>
      </c>
      <c r="K338">
        <v>600</v>
      </c>
      <c r="L338">
        <v>5000</v>
      </c>
      <c r="M338">
        <v>2000</v>
      </c>
    </row>
    <row r="339" spans="1:13" x14ac:dyDescent="0.25">
      <c r="A339" t="s">
        <v>541</v>
      </c>
      <c r="B339" t="s">
        <v>378</v>
      </c>
      <c r="C339" t="s">
        <v>22</v>
      </c>
      <c r="D339" t="s">
        <v>92</v>
      </c>
      <c r="E339" t="s">
        <v>17</v>
      </c>
      <c r="F339">
        <v>3</v>
      </c>
      <c r="G339">
        <v>55000</v>
      </c>
      <c r="H339" s="1">
        <v>45827</v>
      </c>
      <c r="I339" t="s">
        <v>63</v>
      </c>
      <c r="J339" t="s">
        <v>29</v>
      </c>
      <c r="K339">
        <v>42000</v>
      </c>
      <c r="L339">
        <v>165000</v>
      </c>
      <c r="M339">
        <v>39000</v>
      </c>
    </row>
    <row r="340" spans="1:13" x14ac:dyDescent="0.25">
      <c r="A340" t="s">
        <v>542</v>
      </c>
      <c r="B340" t="s">
        <v>262</v>
      </c>
      <c r="C340" t="s">
        <v>102</v>
      </c>
      <c r="D340" t="s">
        <v>62</v>
      </c>
      <c r="E340" t="s">
        <v>34</v>
      </c>
      <c r="F340">
        <v>1</v>
      </c>
      <c r="G340">
        <v>2200</v>
      </c>
      <c r="H340" s="1">
        <v>45963</v>
      </c>
      <c r="I340" t="s">
        <v>54</v>
      </c>
      <c r="J340" t="s">
        <v>29</v>
      </c>
      <c r="K340">
        <v>1400</v>
      </c>
      <c r="L340">
        <v>2200</v>
      </c>
      <c r="M340">
        <v>800</v>
      </c>
    </row>
    <row r="341" spans="1:13" x14ac:dyDescent="0.25">
      <c r="A341" t="s">
        <v>543</v>
      </c>
      <c r="B341" t="s">
        <v>142</v>
      </c>
      <c r="C341" t="s">
        <v>15</v>
      </c>
      <c r="D341" t="s">
        <v>115</v>
      </c>
      <c r="E341" t="s">
        <v>34</v>
      </c>
      <c r="F341">
        <v>1</v>
      </c>
      <c r="G341">
        <v>1800</v>
      </c>
      <c r="H341" s="1">
        <v>45956</v>
      </c>
      <c r="I341" t="s">
        <v>79</v>
      </c>
      <c r="J341" t="s">
        <v>29</v>
      </c>
      <c r="K341">
        <v>1100</v>
      </c>
      <c r="L341">
        <v>1800</v>
      </c>
      <c r="M341">
        <v>700</v>
      </c>
    </row>
    <row r="342" spans="1:13" x14ac:dyDescent="0.25">
      <c r="A342" t="s">
        <v>544</v>
      </c>
      <c r="B342" t="s">
        <v>14</v>
      </c>
      <c r="C342" t="s">
        <v>15</v>
      </c>
      <c r="D342" t="s">
        <v>78</v>
      </c>
      <c r="E342" t="s">
        <v>53</v>
      </c>
      <c r="F342">
        <v>2</v>
      </c>
      <c r="G342">
        <v>4500</v>
      </c>
      <c r="H342" s="1">
        <v>46006</v>
      </c>
      <c r="I342" t="s">
        <v>23</v>
      </c>
      <c r="J342" t="s">
        <v>29</v>
      </c>
      <c r="K342">
        <v>2900</v>
      </c>
      <c r="L342">
        <v>9000</v>
      </c>
      <c r="M342">
        <v>3200</v>
      </c>
    </row>
    <row r="343" spans="1:13" x14ac:dyDescent="0.25">
      <c r="A343" t="s">
        <v>545</v>
      </c>
      <c r="B343" t="s">
        <v>295</v>
      </c>
      <c r="C343" t="s">
        <v>157</v>
      </c>
      <c r="D343" t="s">
        <v>16</v>
      </c>
      <c r="E343" t="s">
        <v>17</v>
      </c>
      <c r="F343">
        <v>2</v>
      </c>
      <c r="G343">
        <v>5000</v>
      </c>
      <c r="H343" s="1">
        <v>45667</v>
      </c>
      <c r="I343" t="s">
        <v>38</v>
      </c>
      <c r="J343" t="s">
        <v>45</v>
      </c>
      <c r="K343">
        <v>3200</v>
      </c>
      <c r="L343">
        <v>10000</v>
      </c>
      <c r="M343">
        <v>3600</v>
      </c>
    </row>
    <row r="344" spans="1:13" x14ac:dyDescent="0.25">
      <c r="A344" t="s">
        <v>546</v>
      </c>
      <c r="B344" t="s">
        <v>311</v>
      </c>
      <c r="C344" t="s">
        <v>157</v>
      </c>
      <c r="D344" t="s">
        <v>43</v>
      </c>
      <c r="E344" t="s">
        <v>17</v>
      </c>
      <c r="F344">
        <v>4</v>
      </c>
      <c r="G344">
        <v>1800</v>
      </c>
      <c r="H344" s="1">
        <v>46011</v>
      </c>
      <c r="I344" t="s">
        <v>63</v>
      </c>
      <c r="J344" t="s">
        <v>29</v>
      </c>
      <c r="K344">
        <v>1100</v>
      </c>
      <c r="L344">
        <v>7200</v>
      </c>
      <c r="M344">
        <v>2800</v>
      </c>
    </row>
    <row r="345" spans="1:13" x14ac:dyDescent="0.25">
      <c r="A345" t="s">
        <v>547</v>
      </c>
      <c r="B345" t="s">
        <v>83</v>
      </c>
      <c r="C345" t="s">
        <v>84</v>
      </c>
      <c r="D345" t="s">
        <v>105</v>
      </c>
      <c r="E345" t="s">
        <v>53</v>
      </c>
      <c r="F345">
        <v>1</v>
      </c>
      <c r="G345">
        <v>1200</v>
      </c>
      <c r="H345" s="1">
        <v>46019</v>
      </c>
      <c r="I345" t="s">
        <v>18</v>
      </c>
      <c r="J345" t="s">
        <v>29</v>
      </c>
      <c r="K345">
        <v>700</v>
      </c>
      <c r="L345">
        <v>1200</v>
      </c>
      <c r="M345">
        <v>500</v>
      </c>
    </row>
    <row r="346" spans="1:13" x14ac:dyDescent="0.25">
      <c r="A346" t="s">
        <v>548</v>
      </c>
      <c r="B346" t="s">
        <v>447</v>
      </c>
      <c r="C346" t="s">
        <v>32</v>
      </c>
      <c r="D346" t="s">
        <v>112</v>
      </c>
      <c r="E346" t="s">
        <v>34</v>
      </c>
      <c r="F346">
        <v>4</v>
      </c>
      <c r="G346">
        <v>1500</v>
      </c>
      <c r="H346" s="1">
        <v>45927</v>
      </c>
      <c r="I346" t="s">
        <v>38</v>
      </c>
      <c r="J346" t="s">
        <v>19</v>
      </c>
      <c r="K346">
        <v>900</v>
      </c>
      <c r="L346">
        <v>6000</v>
      </c>
      <c r="M346">
        <v>2400</v>
      </c>
    </row>
    <row r="347" spans="1:13" x14ac:dyDescent="0.25">
      <c r="A347" t="s">
        <v>549</v>
      </c>
      <c r="B347" t="s">
        <v>341</v>
      </c>
      <c r="C347" t="s">
        <v>89</v>
      </c>
      <c r="D347" t="s">
        <v>67</v>
      </c>
      <c r="E347" t="s">
        <v>53</v>
      </c>
      <c r="F347">
        <v>5</v>
      </c>
      <c r="G347">
        <v>2800</v>
      </c>
      <c r="H347" s="1">
        <v>45833</v>
      </c>
      <c r="I347" t="s">
        <v>38</v>
      </c>
      <c r="J347" t="s">
        <v>39</v>
      </c>
      <c r="K347">
        <v>1800</v>
      </c>
      <c r="L347">
        <v>14000</v>
      </c>
      <c r="M347">
        <v>5000</v>
      </c>
    </row>
    <row r="348" spans="1:13" x14ac:dyDescent="0.25">
      <c r="A348" t="s">
        <v>550</v>
      </c>
      <c r="B348" t="s">
        <v>259</v>
      </c>
      <c r="C348" t="s">
        <v>118</v>
      </c>
      <c r="D348" t="s">
        <v>105</v>
      </c>
      <c r="E348" t="s">
        <v>53</v>
      </c>
      <c r="F348">
        <v>2</v>
      </c>
      <c r="G348">
        <v>1200</v>
      </c>
      <c r="H348" s="1">
        <v>45784</v>
      </c>
      <c r="I348" t="s">
        <v>54</v>
      </c>
      <c r="J348" t="s">
        <v>19</v>
      </c>
      <c r="K348">
        <v>700</v>
      </c>
      <c r="L348">
        <v>2400</v>
      </c>
      <c r="M348">
        <v>1000</v>
      </c>
    </row>
    <row r="349" spans="1:13" x14ac:dyDescent="0.25">
      <c r="A349" t="s">
        <v>551</v>
      </c>
      <c r="B349" t="s">
        <v>169</v>
      </c>
      <c r="C349" t="s">
        <v>121</v>
      </c>
      <c r="D349" t="s">
        <v>62</v>
      </c>
      <c r="E349" t="s">
        <v>34</v>
      </c>
      <c r="F349">
        <v>3</v>
      </c>
      <c r="G349">
        <v>2200</v>
      </c>
      <c r="H349" s="1">
        <v>46018</v>
      </c>
      <c r="I349" t="s">
        <v>35</v>
      </c>
      <c r="J349" t="s">
        <v>39</v>
      </c>
      <c r="K349">
        <v>1400</v>
      </c>
      <c r="L349">
        <v>6600</v>
      </c>
      <c r="M349">
        <v>2400</v>
      </c>
    </row>
    <row r="350" spans="1:13" x14ac:dyDescent="0.25">
      <c r="A350" t="s">
        <v>552</v>
      </c>
      <c r="B350" t="s">
        <v>218</v>
      </c>
      <c r="C350" t="s">
        <v>191</v>
      </c>
      <c r="D350" t="s">
        <v>105</v>
      </c>
      <c r="E350" t="s">
        <v>53</v>
      </c>
      <c r="F350">
        <v>3</v>
      </c>
      <c r="G350">
        <v>1200</v>
      </c>
      <c r="H350" s="1">
        <v>45944</v>
      </c>
      <c r="I350" t="s">
        <v>54</v>
      </c>
      <c r="J350" t="s">
        <v>24</v>
      </c>
      <c r="K350">
        <v>700</v>
      </c>
      <c r="L350">
        <v>3600</v>
      </c>
      <c r="M350">
        <v>1500</v>
      </c>
    </row>
    <row r="351" spans="1:13" x14ac:dyDescent="0.25">
      <c r="A351" t="s">
        <v>553</v>
      </c>
      <c r="B351" t="s">
        <v>246</v>
      </c>
      <c r="C351" t="s">
        <v>22</v>
      </c>
      <c r="D351" t="s">
        <v>52</v>
      </c>
      <c r="E351" t="s">
        <v>53</v>
      </c>
      <c r="F351">
        <v>4</v>
      </c>
      <c r="G351">
        <v>700</v>
      </c>
      <c r="H351" s="1">
        <v>45860</v>
      </c>
      <c r="I351" t="s">
        <v>79</v>
      </c>
      <c r="J351" t="s">
        <v>39</v>
      </c>
      <c r="K351">
        <v>350</v>
      </c>
      <c r="L351">
        <v>2800</v>
      </c>
      <c r="M351">
        <v>1400</v>
      </c>
    </row>
    <row r="352" spans="1:13" x14ac:dyDescent="0.25">
      <c r="A352" t="s">
        <v>554</v>
      </c>
      <c r="B352" t="s">
        <v>246</v>
      </c>
      <c r="C352" t="s">
        <v>22</v>
      </c>
      <c r="D352" t="s">
        <v>75</v>
      </c>
      <c r="E352" t="s">
        <v>17</v>
      </c>
      <c r="F352">
        <v>3</v>
      </c>
      <c r="G352">
        <v>22000</v>
      </c>
      <c r="H352" s="1">
        <v>45698</v>
      </c>
      <c r="I352" t="s">
        <v>35</v>
      </c>
      <c r="J352" t="s">
        <v>39</v>
      </c>
      <c r="K352">
        <v>17000</v>
      </c>
      <c r="L352">
        <v>66000</v>
      </c>
      <c r="M352">
        <v>15000</v>
      </c>
    </row>
    <row r="353" spans="1:13" x14ac:dyDescent="0.25">
      <c r="A353" t="s">
        <v>555</v>
      </c>
      <c r="B353" t="s">
        <v>91</v>
      </c>
      <c r="C353" t="s">
        <v>57</v>
      </c>
      <c r="D353" t="s">
        <v>105</v>
      </c>
      <c r="E353" t="s">
        <v>53</v>
      </c>
      <c r="F353">
        <v>2</v>
      </c>
      <c r="G353">
        <v>1200</v>
      </c>
      <c r="H353" s="1">
        <v>45761</v>
      </c>
      <c r="I353" t="s">
        <v>54</v>
      </c>
      <c r="J353" t="s">
        <v>29</v>
      </c>
      <c r="K353">
        <v>700</v>
      </c>
      <c r="L353">
        <v>2400</v>
      </c>
      <c r="M353">
        <v>1000</v>
      </c>
    </row>
    <row r="354" spans="1:13" x14ac:dyDescent="0.25">
      <c r="A354" t="s">
        <v>556</v>
      </c>
      <c r="B354" t="s">
        <v>101</v>
      </c>
      <c r="C354" t="s">
        <v>102</v>
      </c>
      <c r="D354" t="s">
        <v>37</v>
      </c>
      <c r="E354" t="s">
        <v>34</v>
      </c>
      <c r="F354">
        <v>2</v>
      </c>
      <c r="G354">
        <v>3000</v>
      </c>
      <c r="H354" s="1">
        <v>45713</v>
      </c>
      <c r="I354" t="s">
        <v>18</v>
      </c>
      <c r="J354" t="s">
        <v>24</v>
      </c>
      <c r="K354">
        <v>1900</v>
      </c>
      <c r="L354">
        <v>6000</v>
      </c>
      <c r="M354">
        <v>2200</v>
      </c>
    </row>
    <row r="355" spans="1:13" x14ac:dyDescent="0.25">
      <c r="A355" t="s">
        <v>557</v>
      </c>
      <c r="B355" t="s">
        <v>558</v>
      </c>
      <c r="C355" t="s">
        <v>89</v>
      </c>
      <c r="D355" t="s">
        <v>97</v>
      </c>
      <c r="E355" t="s">
        <v>53</v>
      </c>
      <c r="F355">
        <v>2</v>
      </c>
      <c r="G355">
        <v>1000</v>
      </c>
      <c r="H355" s="1">
        <v>45984</v>
      </c>
      <c r="I355" t="s">
        <v>23</v>
      </c>
      <c r="J355" t="s">
        <v>24</v>
      </c>
      <c r="K355">
        <v>600</v>
      </c>
      <c r="L355">
        <v>2000</v>
      </c>
      <c r="M355">
        <v>800</v>
      </c>
    </row>
    <row r="356" spans="1:13" x14ac:dyDescent="0.25">
      <c r="A356" t="s">
        <v>559</v>
      </c>
      <c r="B356" t="s">
        <v>60</v>
      </c>
      <c r="C356" t="s">
        <v>61</v>
      </c>
      <c r="D356" t="s">
        <v>187</v>
      </c>
      <c r="E356" t="s">
        <v>53</v>
      </c>
      <c r="F356">
        <v>3</v>
      </c>
      <c r="G356">
        <v>3500</v>
      </c>
      <c r="H356" s="1">
        <v>45899</v>
      </c>
      <c r="I356" t="s">
        <v>79</v>
      </c>
      <c r="J356" t="s">
        <v>24</v>
      </c>
      <c r="K356">
        <v>2300</v>
      </c>
      <c r="L356">
        <v>10500</v>
      </c>
      <c r="M356">
        <v>3600</v>
      </c>
    </row>
    <row r="357" spans="1:13" x14ac:dyDescent="0.25">
      <c r="A357" t="s">
        <v>560</v>
      </c>
      <c r="B357" t="s">
        <v>262</v>
      </c>
      <c r="C357" t="s">
        <v>102</v>
      </c>
      <c r="D357" t="s">
        <v>52</v>
      </c>
      <c r="E357" t="s">
        <v>53</v>
      </c>
      <c r="F357">
        <v>2</v>
      </c>
      <c r="G357">
        <v>700</v>
      </c>
      <c r="H357" s="1">
        <v>45866</v>
      </c>
      <c r="I357" t="s">
        <v>35</v>
      </c>
      <c r="J357" t="s">
        <v>19</v>
      </c>
      <c r="K357">
        <v>350</v>
      </c>
      <c r="L357">
        <v>1400</v>
      </c>
      <c r="M357">
        <v>700</v>
      </c>
    </row>
    <row r="358" spans="1:13" x14ac:dyDescent="0.25">
      <c r="A358" t="s">
        <v>561</v>
      </c>
      <c r="B358" t="s">
        <v>114</v>
      </c>
      <c r="C358" t="s">
        <v>84</v>
      </c>
      <c r="D358" t="s">
        <v>62</v>
      </c>
      <c r="E358" t="s">
        <v>34</v>
      </c>
      <c r="F358">
        <v>3</v>
      </c>
      <c r="G358">
        <v>2200</v>
      </c>
      <c r="H358" s="1">
        <v>45804</v>
      </c>
      <c r="I358" t="s">
        <v>44</v>
      </c>
      <c r="J358" t="s">
        <v>29</v>
      </c>
      <c r="K358">
        <v>1400</v>
      </c>
      <c r="L358">
        <v>6600</v>
      </c>
      <c r="M358">
        <v>2400</v>
      </c>
    </row>
    <row r="359" spans="1:13" x14ac:dyDescent="0.25">
      <c r="A359" t="s">
        <v>562</v>
      </c>
      <c r="B359" t="s">
        <v>196</v>
      </c>
      <c r="C359" t="s">
        <v>124</v>
      </c>
      <c r="D359" t="s">
        <v>115</v>
      </c>
      <c r="E359" t="s">
        <v>34</v>
      </c>
      <c r="F359">
        <v>5</v>
      </c>
      <c r="G359">
        <v>1800</v>
      </c>
      <c r="H359" s="1">
        <v>45677</v>
      </c>
      <c r="I359" t="s">
        <v>63</v>
      </c>
      <c r="J359" t="s">
        <v>19</v>
      </c>
      <c r="K359">
        <v>1100</v>
      </c>
      <c r="L359">
        <v>9000</v>
      </c>
      <c r="M359">
        <v>3500</v>
      </c>
    </row>
    <row r="360" spans="1:13" x14ac:dyDescent="0.25">
      <c r="A360" t="s">
        <v>563</v>
      </c>
      <c r="B360" t="s">
        <v>275</v>
      </c>
      <c r="C360" t="s">
        <v>48</v>
      </c>
      <c r="D360" t="s">
        <v>75</v>
      </c>
      <c r="E360" t="s">
        <v>17</v>
      </c>
      <c r="F360">
        <v>4</v>
      </c>
      <c r="G360">
        <v>22000</v>
      </c>
      <c r="H360" s="1">
        <v>45911</v>
      </c>
      <c r="I360" t="s">
        <v>54</v>
      </c>
      <c r="J360" t="s">
        <v>24</v>
      </c>
      <c r="K360">
        <v>17000</v>
      </c>
      <c r="L360">
        <v>88000</v>
      </c>
      <c r="M360">
        <v>20000</v>
      </c>
    </row>
    <row r="361" spans="1:13" x14ac:dyDescent="0.25">
      <c r="A361" t="s">
        <v>564</v>
      </c>
      <c r="B361" t="s">
        <v>127</v>
      </c>
      <c r="C361" t="s">
        <v>48</v>
      </c>
      <c r="D361" t="s">
        <v>92</v>
      </c>
      <c r="E361" t="s">
        <v>17</v>
      </c>
      <c r="F361">
        <v>3</v>
      </c>
      <c r="G361">
        <v>55000</v>
      </c>
      <c r="H361" s="1">
        <v>45948</v>
      </c>
      <c r="I361" t="s">
        <v>38</v>
      </c>
      <c r="J361" t="s">
        <v>39</v>
      </c>
      <c r="K361">
        <v>42000</v>
      </c>
      <c r="L361">
        <v>165000</v>
      </c>
      <c r="M361">
        <v>39000</v>
      </c>
    </row>
    <row r="362" spans="1:13" x14ac:dyDescent="0.25">
      <c r="A362" t="s">
        <v>565</v>
      </c>
      <c r="B362" t="s">
        <v>304</v>
      </c>
      <c r="C362" t="s">
        <v>42</v>
      </c>
      <c r="D362" t="s">
        <v>67</v>
      </c>
      <c r="E362" t="s">
        <v>53</v>
      </c>
      <c r="F362">
        <v>5</v>
      </c>
      <c r="G362">
        <v>2800</v>
      </c>
      <c r="H362" s="1">
        <v>45926</v>
      </c>
      <c r="I362" t="s">
        <v>79</v>
      </c>
      <c r="J362" t="s">
        <v>29</v>
      </c>
      <c r="K362">
        <v>1800</v>
      </c>
      <c r="L362">
        <v>14000</v>
      </c>
      <c r="M362">
        <v>5000</v>
      </c>
    </row>
    <row r="363" spans="1:13" x14ac:dyDescent="0.25">
      <c r="A363" t="s">
        <v>566</v>
      </c>
      <c r="B363" t="s">
        <v>378</v>
      </c>
      <c r="C363" t="s">
        <v>22</v>
      </c>
      <c r="D363" t="s">
        <v>67</v>
      </c>
      <c r="E363" t="s">
        <v>53</v>
      </c>
      <c r="F363">
        <v>3</v>
      </c>
      <c r="G363">
        <v>2800</v>
      </c>
      <c r="H363" s="1">
        <v>45756</v>
      </c>
      <c r="I363" t="s">
        <v>38</v>
      </c>
      <c r="J363" t="s">
        <v>19</v>
      </c>
      <c r="K363">
        <v>1800</v>
      </c>
      <c r="L363">
        <v>8400</v>
      </c>
      <c r="M363">
        <v>3000</v>
      </c>
    </row>
    <row r="364" spans="1:13" x14ac:dyDescent="0.25">
      <c r="A364" t="s">
        <v>567</v>
      </c>
      <c r="B364" t="s">
        <v>568</v>
      </c>
      <c r="C364" t="s">
        <v>70</v>
      </c>
      <c r="D364" t="s">
        <v>67</v>
      </c>
      <c r="E364" t="s">
        <v>53</v>
      </c>
      <c r="F364">
        <v>3</v>
      </c>
      <c r="G364">
        <v>2800</v>
      </c>
      <c r="H364" s="1">
        <v>45753</v>
      </c>
      <c r="I364" t="s">
        <v>38</v>
      </c>
      <c r="J364" t="s">
        <v>39</v>
      </c>
      <c r="K364">
        <v>1800</v>
      </c>
      <c r="L364">
        <v>8400</v>
      </c>
      <c r="M364">
        <v>3000</v>
      </c>
    </row>
    <row r="365" spans="1:13" x14ac:dyDescent="0.25">
      <c r="A365" t="s">
        <v>569</v>
      </c>
      <c r="B365" t="s">
        <v>570</v>
      </c>
      <c r="C365" t="s">
        <v>70</v>
      </c>
      <c r="D365" t="s">
        <v>33</v>
      </c>
      <c r="E365" t="s">
        <v>34</v>
      </c>
      <c r="F365">
        <v>2</v>
      </c>
      <c r="G365">
        <v>800</v>
      </c>
      <c r="H365" s="1">
        <v>45970</v>
      </c>
      <c r="I365" t="s">
        <v>63</v>
      </c>
      <c r="J365" t="s">
        <v>29</v>
      </c>
      <c r="K365">
        <v>450</v>
      </c>
      <c r="L365">
        <v>1600</v>
      </c>
      <c r="M365">
        <v>700</v>
      </c>
    </row>
    <row r="366" spans="1:13" x14ac:dyDescent="0.25">
      <c r="A366" t="s">
        <v>571</v>
      </c>
      <c r="B366" t="s">
        <v>123</v>
      </c>
      <c r="C366" t="s">
        <v>124</v>
      </c>
      <c r="D366" t="s">
        <v>112</v>
      </c>
      <c r="E366" t="s">
        <v>34</v>
      </c>
      <c r="F366">
        <v>1</v>
      </c>
      <c r="G366">
        <v>1500</v>
      </c>
      <c r="H366" s="1">
        <v>45863</v>
      </c>
      <c r="I366" t="s">
        <v>79</v>
      </c>
      <c r="J366" t="s">
        <v>19</v>
      </c>
      <c r="K366">
        <v>900</v>
      </c>
      <c r="L366">
        <v>1500</v>
      </c>
      <c r="M366">
        <v>600</v>
      </c>
    </row>
    <row r="367" spans="1:13" x14ac:dyDescent="0.25">
      <c r="A367" t="s">
        <v>572</v>
      </c>
      <c r="B367" t="s">
        <v>467</v>
      </c>
      <c r="C367" t="s">
        <v>102</v>
      </c>
      <c r="D367" t="s">
        <v>105</v>
      </c>
      <c r="E367" t="s">
        <v>53</v>
      </c>
      <c r="F367">
        <v>3</v>
      </c>
      <c r="G367">
        <v>1200</v>
      </c>
      <c r="H367" s="1">
        <v>45785</v>
      </c>
      <c r="I367" t="s">
        <v>54</v>
      </c>
      <c r="J367" t="s">
        <v>45</v>
      </c>
      <c r="K367">
        <v>700</v>
      </c>
      <c r="L367">
        <v>3600</v>
      </c>
      <c r="M367">
        <v>1500</v>
      </c>
    </row>
    <row r="368" spans="1:13" x14ac:dyDescent="0.25">
      <c r="A368" t="s">
        <v>573</v>
      </c>
      <c r="B368" t="s">
        <v>442</v>
      </c>
      <c r="C368" t="s">
        <v>124</v>
      </c>
      <c r="D368" t="s">
        <v>115</v>
      </c>
      <c r="E368" t="s">
        <v>34</v>
      </c>
      <c r="F368">
        <v>4</v>
      </c>
      <c r="G368">
        <v>1800</v>
      </c>
      <c r="H368" s="1">
        <v>45794</v>
      </c>
      <c r="I368" t="s">
        <v>54</v>
      </c>
      <c r="J368" t="s">
        <v>29</v>
      </c>
      <c r="K368">
        <v>1100</v>
      </c>
      <c r="L368">
        <v>7200</v>
      </c>
      <c r="M368">
        <v>2800</v>
      </c>
    </row>
    <row r="369" spans="1:13" x14ac:dyDescent="0.25">
      <c r="A369" t="s">
        <v>574</v>
      </c>
      <c r="B369" t="s">
        <v>250</v>
      </c>
      <c r="C369" t="s">
        <v>157</v>
      </c>
      <c r="D369" t="s">
        <v>92</v>
      </c>
      <c r="E369" t="s">
        <v>17</v>
      </c>
      <c r="F369">
        <v>3</v>
      </c>
      <c r="G369">
        <v>55000</v>
      </c>
      <c r="H369" s="1">
        <v>45992</v>
      </c>
      <c r="I369" t="s">
        <v>18</v>
      </c>
      <c r="J369" t="s">
        <v>24</v>
      </c>
      <c r="K369">
        <v>42000</v>
      </c>
      <c r="L369">
        <v>165000</v>
      </c>
      <c r="M369">
        <v>39000</v>
      </c>
    </row>
    <row r="370" spans="1:13" x14ac:dyDescent="0.25">
      <c r="A370" t="s">
        <v>575</v>
      </c>
      <c r="B370" t="s">
        <v>86</v>
      </c>
      <c r="C370" t="s">
        <v>51</v>
      </c>
      <c r="D370" t="s">
        <v>16</v>
      </c>
      <c r="E370" t="s">
        <v>17</v>
      </c>
      <c r="F370">
        <v>4</v>
      </c>
      <c r="G370">
        <v>5000</v>
      </c>
      <c r="H370" s="1">
        <v>45815</v>
      </c>
      <c r="I370" t="s">
        <v>63</v>
      </c>
      <c r="J370" t="s">
        <v>29</v>
      </c>
      <c r="K370">
        <v>3200</v>
      </c>
      <c r="L370">
        <v>20000</v>
      </c>
      <c r="M370">
        <v>7200</v>
      </c>
    </row>
    <row r="371" spans="1:13" x14ac:dyDescent="0.25">
      <c r="A371" t="s">
        <v>576</v>
      </c>
      <c r="B371" t="s">
        <v>194</v>
      </c>
      <c r="C371" t="s">
        <v>84</v>
      </c>
      <c r="D371" t="s">
        <v>62</v>
      </c>
      <c r="E371" t="s">
        <v>34</v>
      </c>
      <c r="F371">
        <v>1</v>
      </c>
      <c r="G371">
        <v>2200</v>
      </c>
      <c r="H371" s="1">
        <v>45985</v>
      </c>
      <c r="I371" t="s">
        <v>38</v>
      </c>
      <c r="J371" t="s">
        <v>29</v>
      </c>
      <c r="K371">
        <v>1400</v>
      </c>
      <c r="L371">
        <v>2200</v>
      </c>
      <c r="M371">
        <v>800</v>
      </c>
    </row>
    <row r="372" spans="1:13" x14ac:dyDescent="0.25">
      <c r="A372" t="s">
        <v>577</v>
      </c>
      <c r="B372" t="s">
        <v>142</v>
      </c>
      <c r="C372" t="s">
        <v>15</v>
      </c>
      <c r="D372" t="s">
        <v>115</v>
      </c>
      <c r="E372" t="s">
        <v>34</v>
      </c>
      <c r="F372">
        <v>2</v>
      </c>
      <c r="G372">
        <v>1800</v>
      </c>
      <c r="H372" s="1">
        <v>45726</v>
      </c>
      <c r="I372" t="s">
        <v>79</v>
      </c>
      <c r="J372" t="s">
        <v>45</v>
      </c>
      <c r="K372">
        <v>1100</v>
      </c>
      <c r="L372">
        <v>3600</v>
      </c>
      <c r="M372">
        <v>1400</v>
      </c>
    </row>
    <row r="373" spans="1:13" x14ac:dyDescent="0.25">
      <c r="A373" t="s">
        <v>578</v>
      </c>
      <c r="B373" t="s">
        <v>469</v>
      </c>
      <c r="C373" t="s">
        <v>51</v>
      </c>
      <c r="D373" t="s">
        <v>58</v>
      </c>
      <c r="E373" t="s">
        <v>34</v>
      </c>
      <c r="F373">
        <v>4</v>
      </c>
      <c r="G373">
        <v>2500</v>
      </c>
      <c r="H373" s="1">
        <v>46017</v>
      </c>
      <c r="I373" t="s">
        <v>35</v>
      </c>
      <c r="J373" t="s">
        <v>29</v>
      </c>
      <c r="K373">
        <v>1600</v>
      </c>
      <c r="L373">
        <v>10000</v>
      </c>
      <c r="M373">
        <v>3600</v>
      </c>
    </row>
    <row r="374" spans="1:13" x14ac:dyDescent="0.25">
      <c r="A374" t="s">
        <v>579</v>
      </c>
      <c r="B374" t="s">
        <v>50</v>
      </c>
      <c r="C374" t="s">
        <v>51</v>
      </c>
      <c r="D374" t="s">
        <v>33</v>
      </c>
      <c r="E374" t="s">
        <v>34</v>
      </c>
      <c r="F374">
        <v>2</v>
      </c>
      <c r="G374">
        <v>800</v>
      </c>
      <c r="H374" s="1">
        <v>46006</v>
      </c>
      <c r="I374" t="s">
        <v>35</v>
      </c>
      <c r="J374" t="s">
        <v>29</v>
      </c>
      <c r="K374">
        <v>450</v>
      </c>
      <c r="L374">
        <v>1600</v>
      </c>
      <c r="M374">
        <v>700</v>
      </c>
    </row>
    <row r="375" spans="1:13" x14ac:dyDescent="0.25">
      <c r="A375" t="s">
        <v>580</v>
      </c>
      <c r="B375" t="s">
        <v>378</v>
      </c>
      <c r="C375" t="s">
        <v>22</v>
      </c>
      <c r="D375" t="s">
        <v>58</v>
      </c>
      <c r="E375" t="s">
        <v>34</v>
      </c>
      <c r="F375">
        <v>1</v>
      </c>
      <c r="G375">
        <v>2500</v>
      </c>
      <c r="H375" s="1">
        <v>45946</v>
      </c>
      <c r="I375" t="s">
        <v>23</v>
      </c>
      <c r="J375" t="s">
        <v>29</v>
      </c>
      <c r="K375">
        <v>1600</v>
      </c>
      <c r="L375">
        <v>2500</v>
      </c>
      <c r="M375">
        <v>900</v>
      </c>
    </row>
    <row r="376" spans="1:13" x14ac:dyDescent="0.25">
      <c r="A376" t="s">
        <v>581</v>
      </c>
      <c r="B376" t="s">
        <v>91</v>
      </c>
      <c r="C376" t="s">
        <v>57</v>
      </c>
      <c r="D376" t="s">
        <v>97</v>
      </c>
      <c r="E376" t="s">
        <v>53</v>
      </c>
      <c r="F376">
        <v>2</v>
      </c>
      <c r="G376">
        <v>1000</v>
      </c>
      <c r="H376" s="1">
        <v>45951</v>
      </c>
      <c r="I376" t="s">
        <v>79</v>
      </c>
      <c r="J376" t="s">
        <v>19</v>
      </c>
      <c r="K376">
        <v>600</v>
      </c>
      <c r="L376">
        <v>2000</v>
      </c>
      <c r="M376">
        <v>800</v>
      </c>
    </row>
    <row r="377" spans="1:13" x14ac:dyDescent="0.25">
      <c r="A377" t="s">
        <v>582</v>
      </c>
      <c r="B377" t="s">
        <v>186</v>
      </c>
      <c r="C377" t="s">
        <v>27</v>
      </c>
      <c r="D377" t="s">
        <v>112</v>
      </c>
      <c r="E377" t="s">
        <v>34</v>
      </c>
      <c r="F377">
        <v>5</v>
      </c>
      <c r="G377">
        <v>1500</v>
      </c>
      <c r="H377" s="1">
        <v>45884</v>
      </c>
      <c r="I377" t="s">
        <v>18</v>
      </c>
      <c r="J377" t="s">
        <v>29</v>
      </c>
      <c r="K377">
        <v>900</v>
      </c>
      <c r="L377">
        <v>7500</v>
      </c>
      <c r="M377">
        <v>3000</v>
      </c>
    </row>
    <row r="378" spans="1:13" x14ac:dyDescent="0.25">
      <c r="A378" t="s">
        <v>583</v>
      </c>
      <c r="B378" t="s">
        <v>216</v>
      </c>
      <c r="C378" t="s">
        <v>66</v>
      </c>
      <c r="D378" t="s">
        <v>105</v>
      </c>
      <c r="E378" t="s">
        <v>53</v>
      </c>
      <c r="F378">
        <v>1</v>
      </c>
      <c r="G378">
        <v>1200</v>
      </c>
      <c r="H378" s="1">
        <v>45919</v>
      </c>
      <c r="I378" t="s">
        <v>23</v>
      </c>
      <c r="J378" t="s">
        <v>45</v>
      </c>
      <c r="K378">
        <v>700</v>
      </c>
      <c r="L378">
        <v>1200</v>
      </c>
      <c r="M378">
        <v>500</v>
      </c>
    </row>
    <row r="379" spans="1:13" x14ac:dyDescent="0.25">
      <c r="A379" t="s">
        <v>584</v>
      </c>
      <c r="B379" t="s">
        <v>212</v>
      </c>
      <c r="C379" t="s">
        <v>32</v>
      </c>
      <c r="D379" t="s">
        <v>43</v>
      </c>
      <c r="E379" t="s">
        <v>17</v>
      </c>
      <c r="F379">
        <v>5</v>
      </c>
      <c r="G379">
        <v>1800</v>
      </c>
      <c r="H379" s="1">
        <v>45870</v>
      </c>
      <c r="I379" t="s">
        <v>23</v>
      </c>
      <c r="J379" t="s">
        <v>29</v>
      </c>
      <c r="K379">
        <v>1100</v>
      </c>
      <c r="L379">
        <v>9000</v>
      </c>
      <c r="M379">
        <v>3500</v>
      </c>
    </row>
    <row r="380" spans="1:13" x14ac:dyDescent="0.25">
      <c r="A380" t="s">
        <v>585</v>
      </c>
      <c r="B380" t="s">
        <v>359</v>
      </c>
      <c r="C380" t="s">
        <v>102</v>
      </c>
      <c r="D380" t="s">
        <v>67</v>
      </c>
      <c r="E380" t="s">
        <v>53</v>
      </c>
      <c r="F380">
        <v>3</v>
      </c>
      <c r="G380">
        <v>2800</v>
      </c>
      <c r="H380" s="1">
        <v>45669</v>
      </c>
      <c r="I380" t="s">
        <v>54</v>
      </c>
      <c r="J380" t="s">
        <v>24</v>
      </c>
      <c r="K380">
        <v>1800</v>
      </c>
      <c r="L380">
        <v>8400</v>
      </c>
      <c r="M380">
        <v>3000</v>
      </c>
    </row>
    <row r="381" spans="1:13" x14ac:dyDescent="0.25">
      <c r="A381" t="s">
        <v>586</v>
      </c>
      <c r="B381" t="s">
        <v>161</v>
      </c>
      <c r="C381" t="s">
        <v>118</v>
      </c>
      <c r="D381" t="s">
        <v>33</v>
      </c>
      <c r="E381" t="s">
        <v>34</v>
      </c>
      <c r="F381">
        <v>5</v>
      </c>
      <c r="G381">
        <v>800</v>
      </c>
      <c r="H381" s="1">
        <v>45695</v>
      </c>
      <c r="I381" t="s">
        <v>63</v>
      </c>
      <c r="J381" t="s">
        <v>39</v>
      </c>
      <c r="K381">
        <v>450</v>
      </c>
      <c r="L381">
        <v>4000</v>
      </c>
      <c r="M381">
        <v>1750</v>
      </c>
    </row>
    <row r="382" spans="1:13" x14ac:dyDescent="0.25">
      <c r="A382" t="s">
        <v>587</v>
      </c>
      <c r="B382" t="s">
        <v>56</v>
      </c>
      <c r="C382" t="s">
        <v>57</v>
      </c>
      <c r="D382" t="s">
        <v>28</v>
      </c>
      <c r="E382" t="s">
        <v>17</v>
      </c>
      <c r="F382">
        <v>5</v>
      </c>
      <c r="G382">
        <v>2500</v>
      </c>
      <c r="H382" s="1">
        <v>45688</v>
      </c>
      <c r="I382" t="s">
        <v>35</v>
      </c>
      <c r="J382" t="s">
        <v>24</v>
      </c>
      <c r="K382">
        <v>1500</v>
      </c>
      <c r="L382">
        <v>12500</v>
      </c>
      <c r="M382">
        <v>5000</v>
      </c>
    </row>
    <row r="383" spans="1:13" x14ac:dyDescent="0.25">
      <c r="A383" t="s">
        <v>588</v>
      </c>
      <c r="B383" t="s">
        <v>319</v>
      </c>
      <c r="C383" t="s">
        <v>66</v>
      </c>
      <c r="D383" t="s">
        <v>62</v>
      </c>
      <c r="E383" t="s">
        <v>34</v>
      </c>
      <c r="F383">
        <v>4</v>
      </c>
      <c r="G383">
        <v>2200</v>
      </c>
      <c r="H383" s="1">
        <v>45750</v>
      </c>
      <c r="I383" t="s">
        <v>63</v>
      </c>
      <c r="J383" t="s">
        <v>39</v>
      </c>
      <c r="K383">
        <v>1400</v>
      </c>
      <c r="L383">
        <v>8800</v>
      </c>
      <c r="M383">
        <v>3200</v>
      </c>
    </row>
    <row r="384" spans="1:13" x14ac:dyDescent="0.25">
      <c r="A384" t="s">
        <v>589</v>
      </c>
      <c r="B384" t="s">
        <v>447</v>
      </c>
      <c r="C384" t="s">
        <v>32</v>
      </c>
      <c r="D384" t="s">
        <v>78</v>
      </c>
      <c r="E384" t="s">
        <v>53</v>
      </c>
      <c r="F384">
        <v>4</v>
      </c>
      <c r="G384">
        <v>4500</v>
      </c>
      <c r="H384" s="1">
        <v>45851</v>
      </c>
      <c r="I384" t="s">
        <v>44</v>
      </c>
      <c r="J384" t="s">
        <v>29</v>
      </c>
      <c r="K384">
        <v>2900</v>
      </c>
      <c r="L384">
        <v>18000</v>
      </c>
      <c r="M384">
        <v>6400</v>
      </c>
    </row>
    <row r="385" spans="1:13" x14ac:dyDescent="0.25">
      <c r="A385" t="s">
        <v>590</v>
      </c>
      <c r="B385" t="s">
        <v>172</v>
      </c>
      <c r="C385" t="s">
        <v>61</v>
      </c>
      <c r="D385" t="s">
        <v>43</v>
      </c>
      <c r="E385" t="s">
        <v>17</v>
      </c>
      <c r="F385">
        <v>3</v>
      </c>
      <c r="G385">
        <v>1800</v>
      </c>
      <c r="H385" s="1">
        <v>45718</v>
      </c>
      <c r="I385" t="s">
        <v>63</v>
      </c>
      <c r="J385" t="s">
        <v>29</v>
      </c>
      <c r="K385">
        <v>1100</v>
      </c>
      <c r="L385">
        <v>5400</v>
      </c>
      <c r="M385">
        <v>2100</v>
      </c>
    </row>
    <row r="386" spans="1:13" x14ac:dyDescent="0.25">
      <c r="A386" t="s">
        <v>591</v>
      </c>
      <c r="B386" t="s">
        <v>299</v>
      </c>
      <c r="C386" t="s">
        <v>61</v>
      </c>
      <c r="D386" t="s">
        <v>43</v>
      </c>
      <c r="E386" t="s">
        <v>17</v>
      </c>
      <c r="F386">
        <v>2</v>
      </c>
      <c r="G386">
        <v>1800</v>
      </c>
      <c r="H386" s="1">
        <v>45659</v>
      </c>
      <c r="I386" t="s">
        <v>54</v>
      </c>
      <c r="J386" t="s">
        <v>45</v>
      </c>
      <c r="K386">
        <v>1100</v>
      </c>
      <c r="L386">
        <v>3600</v>
      </c>
      <c r="M386">
        <v>1400</v>
      </c>
    </row>
    <row r="387" spans="1:13" x14ac:dyDescent="0.25">
      <c r="A387" t="s">
        <v>592</v>
      </c>
      <c r="B387" t="s">
        <v>137</v>
      </c>
      <c r="C387" t="s">
        <v>57</v>
      </c>
      <c r="D387" t="s">
        <v>52</v>
      </c>
      <c r="E387" t="s">
        <v>53</v>
      </c>
      <c r="F387">
        <v>4</v>
      </c>
      <c r="G387">
        <v>700</v>
      </c>
      <c r="H387" s="1">
        <v>45930</v>
      </c>
      <c r="I387" t="s">
        <v>18</v>
      </c>
      <c r="J387" t="s">
        <v>19</v>
      </c>
      <c r="K387">
        <v>350</v>
      </c>
      <c r="L387">
        <v>2800</v>
      </c>
      <c r="M387">
        <v>1400</v>
      </c>
    </row>
    <row r="388" spans="1:13" x14ac:dyDescent="0.25">
      <c r="A388" t="s">
        <v>593</v>
      </c>
      <c r="B388" t="s">
        <v>218</v>
      </c>
      <c r="C388" t="s">
        <v>191</v>
      </c>
      <c r="D388" t="s">
        <v>67</v>
      </c>
      <c r="E388" t="s">
        <v>53</v>
      </c>
      <c r="F388">
        <v>3</v>
      </c>
      <c r="G388">
        <v>2800</v>
      </c>
      <c r="H388" s="1">
        <v>45737</v>
      </c>
      <c r="I388" t="s">
        <v>18</v>
      </c>
      <c r="J388" t="s">
        <v>24</v>
      </c>
      <c r="K388">
        <v>1800</v>
      </c>
      <c r="L388">
        <v>8400</v>
      </c>
      <c r="M388">
        <v>3000</v>
      </c>
    </row>
    <row r="389" spans="1:13" x14ac:dyDescent="0.25">
      <c r="A389" t="s">
        <v>594</v>
      </c>
      <c r="B389" t="s">
        <v>236</v>
      </c>
      <c r="C389" t="s">
        <v>124</v>
      </c>
      <c r="D389" t="s">
        <v>75</v>
      </c>
      <c r="E389" t="s">
        <v>17</v>
      </c>
      <c r="F389">
        <v>4</v>
      </c>
      <c r="G389">
        <v>22000</v>
      </c>
      <c r="H389" s="1">
        <v>45972</v>
      </c>
      <c r="I389" t="s">
        <v>18</v>
      </c>
      <c r="J389" t="s">
        <v>19</v>
      </c>
      <c r="K389">
        <v>17000</v>
      </c>
      <c r="L389">
        <v>88000</v>
      </c>
      <c r="M389">
        <v>20000</v>
      </c>
    </row>
    <row r="390" spans="1:13" x14ac:dyDescent="0.25">
      <c r="A390" t="s">
        <v>595</v>
      </c>
      <c r="B390" t="s">
        <v>596</v>
      </c>
      <c r="C390" t="s">
        <v>22</v>
      </c>
      <c r="D390" t="s">
        <v>28</v>
      </c>
      <c r="E390" t="s">
        <v>17</v>
      </c>
      <c r="F390">
        <v>1</v>
      </c>
      <c r="G390">
        <v>2500</v>
      </c>
      <c r="H390" s="1">
        <v>45962</v>
      </c>
      <c r="I390" t="s">
        <v>35</v>
      </c>
      <c r="J390" t="s">
        <v>29</v>
      </c>
      <c r="K390">
        <v>1500</v>
      </c>
      <c r="L390">
        <v>2500</v>
      </c>
      <c r="M390">
        <v>1000</v>
      </c>
    </row>
    <row r="391" spans="1:13" x14ac:dyDescent="0.25">
      <c r="A391" t="s">
        <v>597</v>
      </c>
      <c r="B391" t="s">
        <v>107</v>
      </c>
      <c r="C391" t="s">
        <v>15</v>
      </c>
      <c r="D391" t="s">
        <v>75</v>
      </c>
      <c r="E391" t="s">
        <v>17</v>
      </c>
      <c r="F391">
        <v>2</v>
      </c>
      <c r="G391">
        <v>22000</v>
      </c>
      <c r="H391" s="1">
        <v>45680</v>
      </c>
      <c r="I391" t="s">
        <v>35</v>
      </c>
      <c r="J391" t="s">
        <v>19</v>
      </c>
      <c r="K391">
        <v>17000</v>
      </c>
      <c r="L391">
        <v>44000</v>
      </c>
      <c r="M391">
        <v>10000</v>
      </c>
    </row>
    <row r="392" spans="1:13" x14ac:dyDescent="0.25">
      <c r="A392" t="s">
        <v>598</v>
      </c>
      <c r="B392" t="s">
        <v>83</v>
      </c>
      <c r="C392" t="s">
        <v>84</v>
      </c>
      <c r="D392" t="s">
        <v>52</v>
      </c>
      <c r="E392" t="s">
        <v>53</v>
      </c>
      <c r="F392">
        <v>2</v>
      </c>
      <c r="G392">
        <v>700</v>
      </c>
      <c r="H392" s="1">
        <v>45686</v>
      </c>
      <c r="I392" t="s">
        <v>54</v>
      </c>
      <c r="J392" t="s">
        <v>19</v>
      </c>
      <c r="K392">
        <v>350</v>
      </c>
      <c r="L392">
        <v>1400</v>
      </c>
      <c r="M392">
        <v>700</v>
      </c>
    </row>
    <row r="393" spans="1:13" x14ac:dyDescent="0.25">
      <c r="A393" t="s">
        <v>599</v>
      </c>
      <c r="B393" t="s">
        <v>99</v>
      </c>
      <c r="C393" t="s">
        <v>15</v>
      </c>
      <c r="D393" t="s">
        <v>112</v>
      </c>
      <c r="E393" t="s">
        <v>34</v>
      </c>
      <c r="F393">
        <v>5</v>
      </c>
      <c r="G393">
        <v>1500</v>
      </c>
      <c r="H393" s="1">
        <v>45964</v>
      </c>
      <c r="I393" t="s">
        <v>18</v>
      </c>
      <c r="J393" t="s">
        <v>39</v>
      </c>
      <c r="K393">
        <v>900</v>
      </c>
      <c r="L393">
        <v>7500</v>
      </c>
      <c r="M393">
        <v>3000</v>
      </c>
    </row>
    <row r="394" spans="1:13" x14ac:dyDescent="0.25">
      <c r="A394" t="s">
        <v>600</v>
      </c>
      <c r="B394" t="s">
        <v>454</v>
      </c>
      <c r="C394" t="s">
        <v>61</v>
      </c>
      <c r="D394" t="s">
        <v>43</v>
      </c>
      <c r="E394" t="s">
        <v>17</v>
      </c>
      <c r="F394">
        <v>5</v>
      </c>
      <c r="G394">
        <v>1800</v>
      </c>
      <c r="H394" s="1">
        <v>45771</v>
      </c>
      <c r="I394" t="s">
        <v>54</v>
      </c>
      <c r="J394" t="s">
        <v>39</v>
      </c>
      <c r="K394">
        <v>1100</v>
      </c>
      <c r="L394">
        <v>9000</v>
      </c>
      <c r="M394">
        <v>3500</v>
      </c>
    </row>
    <row r="395" spans="1:13" x14ac:dyDescent="0.25">
      <c r="A395" t="s">
        <v>601</v>
      </c>
      <c r="B395" t="s">
        <v>196</v>
      </c>
      <c r="C395" t="s">
        <v>124</v>
      </c>
      <c r="D395" t="s">
        <v>75</v>
      </c>
      <c r="E395" t="s">
        <v>17</v>
      </c>
      <c r="F395">
        <v>5</v>
      </c>
      <c r="G395">
        <v>22000</v>
      </c>
      <c r="H395" s="1">
        <v>45960</v>
      </c>
      <c r="I395" t="s">
        <v>63</v>
      </c>
      <c r="J395" t="s">
        <v>29</v>
      </c>
      <c r="K395">
        <v>17000</v>
      </c>
      <c r="L395">
        <v>110000</v>
      </c>
      <c r="M395">
        <v>25000</v>
      </c>
    </row>
    <row r="396" spans="1:13" x14ac:dyDescent="0.25">
      <c r="A396" t="s">
        <v>602</v>
      </c>
      <c r="B396" t="s">
        <v>137</v>
      </c>
      <c r="C396" t="s">
        <v>57</v>
      </c>
      <c r="D396" t="s">
        <v>105</v>
      </c>
      <c r="E396" t="s">
        <v>53</v>
      </c>
      <c r="F396">
        <v>1</v>
      </c>
      <c r="G396">
        <v>1200</v>
      </c>
      <c r="H396" s="1">
        <v>45834</v>
      </c>
      <c r="I396" t="s">
        <v>38</v>
      </c>
      <c r="J396" t="s">
        <v>45</v>
      </c>
      <c r="K396">
        <v>700</v>
      </c>
      <c r="L396">
        <v>1200</v>
      </c>
      <c r="M396">
        <v>500</v>
      </c>
    </row>
    <row r="397" spans="1:13" x14ac:dyDescent="0.25">
      <c r="A397" t="s">
        <v>603</v>
      </c>
      <c r="B397" t="s">
        <v>447</v>
      </c>
      <c r="C397" t="s">
        <v>32</v>
      </c>
      <c r="D397" t="s">
        <v>187</v>
      </c>
      <c r="E397" t="s">
        <v>53</v>
      </c>
      <c r="F397">
        <v>2</v>
      </c>
      <c r="G397">
        <v>3500</v>
      </c>
      <c r="H397" s="1">
        <v>45811</v>
      </c>
      <c r="I397" t="s">
        <v>79</v>
      </c>
      <c r="J397" t="s">
        <v>29</v>
      </c>
      <c r="K397">
        <v>2300</v>
      </c>
      <c r="L397">
        <v>7000</v>
      </c>
      <c r="M397">
        <v>2400</v>
      </c>
    </row>
    <row r="398" spans="1:13" x14ac:dyDescent="0.25">
      <c r="A398" t="s">
        <v>604</v>
      </c>
      <c r="B398" t="s">
        <v>282</v>
      </c>
      <c r="C398" t="s">
        <v>32</v>
      </c>
      <c r="D398" t="s">
        <v>105</v>
      </c>
      <c r="E398" t="s">
        <v>53</v>
      </c>
      <c r="F398">
        <v>2</v>
      </c>
      <c r="G398">
        <v>1200</v>
      </c>
      <c r="H398" s="1">
        <v>45773</v>
      </c>
      <c r="I398" t="s">
        <v>79</v>
      </c>
      <c r="J398" t="s">
        <v>45</v>
      </c>
      <c r="K398">
        <v>700</v>
      </c>
      <c r="L398">
        <v>2400</v>
      </c>
      <c r="M398">
        <v>1000</v>
      </c>
    </row>
    <row r="399" spans="1:13" x14ac:dyDescent="0.25">
      <c r="A399" t="s">
        <v>605</v>
      </c>
      <c r="B399" t="s">
        <v>280</v>
      </c>
      <c r="C399" t="s">
        <v>42</v>
      </c>
      <c r="D399" t="s">
        <v>75</v>
      </c>
      <c r="E399" t="s">
        <v>17</v>
      </c>
      <c r="F399">
        <v>5</v>
      </c>
      <c r="G399">
        <v>22000</v>
      </c>
      <c r="H399" s="1">
        <v>45869</v>
      </c>
      <c r="I399" t="s">
        <v>79</v>
      </c>
      <c r="J399" t="s">
        <v>45</v>
      </c>
      <c r="K399">
        <v>17000</v>
      </c>
      <c r="L399">
        <v>110000</v>
      </c>
      <c r="M399">
        <v>25000</v>
      </c>
    </row>
    <row r="400" spans="1:13" x14ac:dyDescent="0.25">
      <c r="A400" t="s">
        <v>606</v>
      </c>
      <c r="B400" t="s">
        <v>442</v>
      </c>
      <c r="C400" t="s">
        <v>124</v>
      </c>
      <c r="D400" t="s">
        <v>115</v>
      </c>
      <c r="E400" t="s">
        <v>34</v>
      </c>
      <c r="F400">
        <v>3</v>
      </c>
      <c r="G400">
        <v>1800</v>
      </c>
      <c r="H400" s="1">
        <v>45762</v>
      </c>
      <c r="I400" t="s">
        <v>44</v>
      </c>
      <c r="J400" t="s">
        <v>45</v>
      </c>
      <c r="K400">
        <v>1100</v>
      </c>
      <c r="L400">
        <v>5400</v>
      </c>
      <c r="M400">
        <v>2100</v>
      </c>
    </row>
    <row r="401" spans="1:13" x14ac:dyDescent="0.25">
      <c r="A401" t="s">
        <v>607</v>
      </c>
      <c r="B401" t="s">
        <v>309</v>
      </c>
      <c r="C401" t="s">
        <v>22</v>
      </c>
      <c r="D401" t="s">
        <v>58</v>
      </c>
      <c r="E401" t="s">
        <v>34</v>
      </c>
      <c r="F401">
        <v>1</v>
      </c>
      <c r="G401">
        <v>2500</v>
      </c>
      <c r="H401" s="1">
        <v>45932</v>
      </c>
      <c r="I401" t="s">
        <v>23</v>
      </c>
      <c r="J401" t="s">
        <v>39</v>
      </c>
      <c r="K401">
        <v>1600</v>
      </c>
      <c r="L401">
        <v>2500</v>
      </c>
      <c r="M401">
        <v>900</v>
      </c>
    </row>
    <row r="402" spans="1:13" x14ac:dyDescent="0.25">
      <c r="A402" t="s">
        <v>608</v>
      </c>
      <c r="B402" t="s">
        <v>238</v>
      </c>
      <c r="C402" t="s">
        <v>191</v>
      </c>
      <c r="D402" t="s">
        <v>78</v>
      </c>
      <c r="E402" t="s">
        <v>53</v>
      </c>
      <c r="F402">
        <v>5</v>
      </c>
      <c r="G402">
        <v>4500</v>
      </c>
      <c r="H402" s="1">
        <v>45966</v>
      </c>
      <c r="I402" t="s">
        <v>44</v>
      </c>
      <c r="J402" t="s">
        <v>19</v>
      </c>
      <c r="K402">
        <v>2900</v>
      </c>
      <c r="L402">
        <v>22500</v>
      </c>
      <c r="M402">
        <v>8000</v>
      </c>
    </row>
    <row r="403" spans="1:13" x14ac:dyDescent="0.25">
      <c r="A403" t="s">
        <v>609</v>
      </c>
      <c r="B403" t="s">
        <v>169</v>
      </c>
      <c r="C403" t="s">
        <v>121</v>
      </c>
      <c r="D403" t="s">
        <v>52</v>
      </c>
      <c r="E403" t="s">
        <v>53</v>
      </c>
      <c r="F403">
        <v>2</v>
      </c>
      <c r="G403">
        <v>700</v>
      </c>
      <c r="H403" s="1">
        <v>45903</v>
      </c>
      <c r="I403" t="s">
        <v>38</v>
      </c>
      <c r="J403" t="s">
        <v>39</v>
      </c>
      <c r="K403">
        <v>350</v>
      </c>
      <c r="L403">
        <v>1400</v>
      </c>
      <c r="M403">
        <v>700</v>
      </c>
    </row>
    <row r="404" spans="1:13" x14ac:dyDescent="0.25">
      <c r="A404" t="s">
        <v>610</v>
      </c>
      <c r="B404" t="s">
        <v>611</v>
      </c>
      <c r="C404" t="s">
        <v>191</v>
      </c>
      <c r="D404" t="s">
        <v>92</v>
      </c>
      <c r="E404" t="s">
        <v>17</v>
      </c>
      <c r="F404">
        <v>2</v>
      </c>
      <c r="G404">
        <v>55000</v>
      </c>
      <c r="H404" s="1">
        <v>45755</v>
      </c>
      <c r="I404" t="s">
        <v>35</v>
      </c>
      <c r="J404" t="s">
        <v>19</v>
      </c>
      <c r="K404">
        <v>42000</v>
      </c>
      <c r="L404">
        <v>110000</v>
      </c>
      <c r="M404">
        <v>26000</v>
      </c>
    </row>
    <row r="405" spans="1:13" x14ac:dyDescent="0.25">
      <c r="A405" t="s">
        <v>612</v>
      </c>
      <c r="B405" t="s">
        <v>111</v>
      </c>
      <c r="C405" t="s">
        <v>102</v>
      </c>
      <c r="D405" t="s">
        <v>33</v>
      </c>
      <c r="E405" t="s">
        <v>34</v>
      </c>
      <c r="F405">
        <v>4</v>
      </c>
      <c r="G405">
        <v>800</v>
      </c>
      <c r="H405" s="1">
        <v>45780</v>
      </c>
      <c r="I405" t="s">
        <v>38</v>
      </c>
      <c r="J405" t="s">
        <v>39</v>
      </c>
      <c r="K405">
        <v>450</v>
      </c>
      <c r="L405">
        <v>3200</v>
      </c>
      <c r="M405">
        <v>1400</v>
      </c>
    </row>
    <row r="406" spans="1:13" x14ac:dyDescent="0.25">
      <c r="A406" t="s">
        <v>613</v>
      </c>
      <c r="B406" t="s">
        <v>346</v>
      </c>
      <c r="C406" t="s">
        <v>118</v>
      </c>
      <c r="D406" t="s">
        <v>78</v>
      </c>
      <c r="E406" t="s">
        <v>53</v>
      </c>
      <c r="F406">
        <v>4</v>
      </c>
      <c r="G406">
        <v>4500</v>
      </c>
      <c r="H406" s="1">
        <v>45931</v>
      </c>
      <c r="I406" t="s">
        <v>54</v>
      </c>
      <c r="J406" t="s">
        <v>39</v>
      </c>
      <c r="K406">
        <v>2900</v>
      </c>
      <c r="L406">
        <v>18000</v>
      </c>
      <c r="M406">
        <v>6400</v>
      </c>
    </row>
    <row r="407" spans="1:13" x14ac:dyDescent="0.25">
      <c r="A407" t="s">
        <v>614</v>
      </c>
      <c r="B407" t="s">
        <v>88</v>
      </c>
      <c r="C407" t="s">
        <v>89</v>
      </c>
      <c r="D407" t="s">
        <v>58</v>
      </c>
      <c r="E407" t="s">
        <v>34</v>
      </c>
      <c r="F407">
        <v>5</v>
      </c>
      <c r="G407">
        <v>2500</v>
      </c>
      <c r="H407" s="1">
        <v>45912</v>
      </c>
      <c r="I407" t="s">
        <v>44</v>
      </c>
      <c r="J407" t="s">
        <v>45</v>
      </c>
      <c r="K407">
        <v>1600</v>
      </c>
      <c r="L407">
        <v>12500</v>
      </c>
      <c r="M407">
        <v>4500</v>
      </c>
    </row>
    <row r="408" spans="1:13" x14ac:dyDescent="0.25">
      <c r="A408" t="s">
        <v>615</v>
      </c>
      <c r="B408" t="s">
        <v>74</v>
      </c>
      <c r="C408" t="s">
        <v>51</v>
      </c>
      <c r="D408" t="s">
        <v>112</v>
      </c>
      <c r="E408" t="s">
        <v>34</v>
      </c>
      <c r="F408">
        <v>2</v>
      </c>
      <c r="G408">
        <v>1500</v>
      </c>
      <c r="H408" s="1">
        <v>45847</v>
      </c>
      <c r="I408" t="s">
        <v>63</v>
      </c>
      <c r="J408" t="s">
        <v>24</v>
      </c>
      <c r="K408">
        <v>900</v>
      </c>
      <c r="L408">
        <v>3000</v>
      </c>
      <c r="M408">
        <v>1200</v>
      </c>
    </row>
    <row r="409" spans="1:13" x14ac:dyDescent="0.25">
      <c r="A409" t="s">
        <v>616</v>
      </c>
      <c r="B409" t="s">
        <v>182</v>
      </c>
      <c r="C409" t="s">
        <v>42</v>
      </c>
      <c r="D409" t="s">
        <v>115</v>
      </c>
      <c r="E409" t="s">
        <v>34</v>
      </c>
      <c r="F409">
        <v>2</v>
      </c>
      <c r="G409">
        <v>1800</v>
      </c>
      <c r="H409" s="1">
        <v>45666</v>
      </c>
      <c r="I409" t="s">
        <v>63</v>
      </c>
      <c r="J409" t="s">
        <v>39</v>
      </c>
      <c r="K409">
        <v>1100</v>
      </c>
      <c r="L409">
        <v>3600</v>
      </c>
      <c r="M409">
        <v>1400</v>
      </c>
    </row>
    <row r="410" spans="1:13" x14ac:dyDescent="0.25">
      <c r="A410" t="s">
        <v>617</v>
      </c>
      <c r="B410" t="s">
        <v>416</v>
      </c>
      <c r="C410" t="s">
        <v>133</v>
      </c>
      <c r="D410" t="s">
        <v>43</v>
      </c>
      <c r="E410" t="s">
        <v>17</v>
      </c>
      <c r="F410">
        <v>2</v>
      </c>
      <c r="G410">
        <v>1800</v>
      </c>
      <c r="H410" s="1">
        <v>45826</v>
      </c>
      <c r="I410" t="s">
        <v>63</v>
      </c>
      <c r="J410" t="s">
        <v>29</v>
      </c>
      <c r="K410">
        <v>1100</v>
      </c>
      <c r="L410">
        <v>3600</v>
      </c>
      <c r="M410">
        <v>1400</v>
      </c>
    </row>
    <row r="411" spans="1:13" x14ac:dyDescent="0.25">
      <c r="A411" t="s">
        <v>618</v>
      </c>
      <c r="B411" t="s">
        <v>357</v>
      </c>
      <c r="C411" t="s">
        <v>42</v>
      </c>
      <c r="D411" t="s">
        <v>115</v>
      </c>
      <c r="E411" t="s">
        <v>34</v>
      </c>
      <c r="F411">
        <v>4</v>
      </c>
      <c r="G411">
        <v>1800</v>
      </c>
      <c r="H411" s="1">
        <v>45939</v>
      </c>
      <c r="I411" t="s">
        <v>54</v>
      </c>
      <c r="J411" t="s">
        <v>45</v>
      </c>
      <c r="K411">
        <v>1100</v>
      </c>
      <c r="L411">
        <v>7200</v>
      </c>
      <c r="M411">
        <v>2800</v>
      </c>
    </row>
    <row r="412" spans="1:13" x14ac:dyDescent="0.25">
      <c r="A412" t="s">
        <v>619</v>
      </c>
      <c r="B412" t="s">
        <v>226</v>
      </c>
      <c r="C412" t="s">
        <v>191</v>
      </c>
      <c r="D412" t="s">
        <v>105</v>
      </c>
      <c r="E412" t="s">
        <v>53</v>
      </c>
      <c r="F412">
        <v>4</v>
      </c>
      <c r="G412">
        <v>1200</v>
      </c>
      <c r="H412" s="1">
        <v>45744</v>
      </c>
      <c r="I412" t="s">
        <v>79</v>
      </c>
      <c r="J412" t="s">
        <v>19</v>
      </c>
      <c r="K412">
        <v>700</v>
      </c>
      <c r="L412">
        <v>4800</v>
      </c>
      <c r="M412">
        <v>2000</v>
      </c>
    </row>
    <row r="413" spans="1:13" x14ac:dyDescent="0.25">
      <c r="A413" t="s">
        <v>620</v>
      </c>
      <c r="B413" t="s">
        <v>132</v>
      </c>
      <c r="C413" t="s">
        <v>133</v>
      </c>
      <c r="D413" t="s">
        <v>52</v>
      </c>
      <c r="E413" t="s">
        <v>53</v>
      </c>
      <c r="F413">
        <v>4</v>
      </c>
      <c r="G413">
        <v>700</v>
      </c>
      <c r="H413" s="1">
        <v>45752</v>
      </c>
      <c r="I413" t="s">
        <v>23</v>
      </c>
      <c r="J413" t="s">
        <v>29</v>
      </c>
      <c r="K413">
        <v>350</v>
      </c>
      <c r="L413">
        <v>2800</v>
      </c>
      <c r="M413">
        <v>1400</v>
      </c>
    </row>
    <row r="414" spans="1:13" x14ac:dyDescent="0.25">
      <c r="A414" t="s">
        <v>621</v>
      </c>
      <c r="B414" t="s">
        <v>529</v>
      </c>
      <c r="C414" t="s">
        <v>157</v>
      </c>
      <c r="D414" t="s">
        <v>75</v>
      </c>
      <c r="E414" t="s">
        <v>17</v>
      </c>
      <c r="F414">
        <v>1</v>
      </c>
      <c r="G414">
        <v>22000</v>
      </c>
      <c r="H414" s="1">
        <v>46000</v>
      </c>
      <c r="I414" t="s">
        <v>23</v>
      </c>
      <c r="J414" t="s">
        <v>45</v>
      </c>
      <c r="K414">
        <v>17000</v>
      </c>
      <c r="L414">
        <v>22000</v>
      </c>
      <c r="M414">
        <v>5000</v>
      </c>
    </row>
    <row r="415" spans="1:13" x14ac:dyDescent="0.25">
      <c r="A415" t="s">
        <v>622</v>
      </c>
      <c r="B415" t="s">
        <v>165</v>
      </c>
      <c r="C415" t="s">
        <v>133</v>
      </c>
      <c r="D415" t="s">
        <v>43</v>
      </c>
      <c r="E415" t="s">
        <v>17</v>
      </c>
      <c r="F415">
        <v>2</v>
      </c>
      <c r="G415">
        <v>1800</v>
      </c>
      <c r="H415" s="1">
        <v>45692</v>
      </c>
      <c r="I415" t="s">
        <v>23</v>
      </c>
      <c r="J415" t="s">
        <v>19</v>
      </c>
      <c r="K415">
        <v>1100</v>
      </c>
      <c r="L415">
        <v>3600</v>
      </c>
      <c r="M415">
        <v>1400</v>
      </c>
    </row>
    <row r="416" spans="1:13" x14ac:dyDescent="0.25">
      <c r="A416" t="s">
        <v>623</v>
      </c>
      <c r="B416" t="s">
        <v>114</v>
      </c>
      <c r="C416" t="s">
        <v>84</v>
      </c>
      <c r="D416" t="s">
        <v>97</v>
      </c>
      <c r="E416" t="s">
        <v>53</v>
      </c>
      <c r="F416">
        <v>4</v>
      </c>
      <c r="G416">
        <v>1000</v>
      </c>
      <c r="H416" s="1">
        <v>45849</v>
      </c>
      <c r="I416" t="s">
        <v>35</v>
      </c>
      <c r="J416" t="s">
        <v>45</v>
      </c>
      <c r="K416">
        <v>600</v>
      </c>
      <c r="L416">
        <v>4000</v>
      </c>
      <c r="M416">
        <v>1600</v>
      </c>
    </row>
    <row r="417" spans="1:13" x14ac:dyDescent="0.25">
      <c r="A417" t="s">
        <v>624</v>
      </c>
      <c r="B417" t="s">
        <v>111</v>
      </c>
      <c r="C417" t="s">
        <v>102</v>
      </c>
      <c r="D417" t="s">
        <v>92</v>
      </c>
      <c r="E417" t="s">
        <v>17</v>
      </c>
      <c r="F417">
        <v>1</v>
      </c>
      <c r="G417">
        <v>55000</v>
      </c>
      <c r="H417" s="1">
        <v>45930</v>
      </c>
      <c r="I417" t="s">
        <v>63</v>
      </c>
      <c r="J417" t="s">
        <v>24</v>
      </c>
      <c r="K417">
        <v>42000</v>
      </c>
      <c r="L417">
        <v>55000</v>
      </c>
      <c r="M417">
        <v>13000</v>
      </c>
    </row>
    <row r="418" spans="1:13" x14ac:dyDescent="0.25">
      <c r="A418" t="s">
        <v>625</v>
      </c>
      <c r="B418" t="s">
        <v>91</v>
      </c>
      <c r="C418" t="s">
        <v>57</v>
      </c>
      <c r="D418" t="s">
        <v>92</v>
      </c>
      <c r="E418" t="s">
        <v>17</v>
      </c>
      <c r="F418">
        <v>5</v>
      </c>
      <c r="G418">
        <v>55000</v>
      </c>
      <c r="H418" s="1">
        <v>45798</v>
      </c>
      <c r="I418" t="s">
        <v>54</v>
      </c>
      <c r="J418" t="s">
        <v>24</v>
      </c>
      <c r="K418">
        <v>42000</v>
      </c>
      <c r="L418">
        <v>275000</v>
      </c>
      <c r="M418">
        <v>65000</v>
      </c>
    </row>
    <row r="419" spans="1:13" x14ac:dyDescent="0.25">
      <c r="A419" t="s">
        <v>626</v>
      </c>
      <c r="B419" t="s">
        <v>127</v>
      </c>
      <c r="C419" t="s">
        <v>48</v>
      </c>
      <c r="D419" t="s">
        <v>97</v>
      </c>
      <c r="E419" t="s">
        <v>53</v>
      </c>
      <c r="F419">
        <v>4</v>
      </c>
      <c r="G419">
        <v>1000</v>
      </c>
      <c r="H419" s="1">
        <v>45749</v>
      </c>
      <c r="I419" t="s">
        <v>44</v>
      </c>
      <c r="J419" t="s">
        <v>29</v>
      </c>
      <c r="K419">
        <v>600</v>
      </c>
      <c r="L419">
        <v>4000</v>
      </c>
      <c r="M419">
        <v>1600</v>
      </c>
    </row>
    <row r="420" spans="1:13" x14ac:dyDescent="0.25">
      <c r="A420" t="s">
        <v>627</v>
      </c>
      <c r="B420" t="s">
        <v>411</v>
      </c>
      <c r="C420" t="s">
        <v>66</v>
      </c>
      <c r="D420" t="s">
        <v>43</v>
      </c>
      <c r="E420" t="s">
        <v>17</v>
      </c>
      <c r="F420">
        <v>2</v>
      </c>
      <c r="G420">
        <v>1800</v>
      </c>
      <c r="H420" s="1">
        <v>45756</v>
      </c>
      <c r="I420" t="s">
        <v>54</v>
      </c>
      <c r="J420" t="s">
        <v>39</v>
      </c>
      <c r="K420">
        <v>1100</v>
      </c>
      <c r="L420">
        <v>3600</v>
      </c>
      <c r="M420">
        <v>1400</v>
      </c>
    </row>
    <row r="421" spans="1:13" x14ac:dyDescent="0.25">
      <c r="A421" t="s">
        <v>628</v>
      </c>
      <c r="B421" t="s">
        <v>463</v>
      </c>
      <c r="C421" t="s">
        <v>84</v>
      </c>
      <c r="D421" t="s">
        <v>37</v>
      </c>
      <c r="E421" t="s">
        <v>34</v>
      </c>
      <c r="F421">
        <v>4</v>
      </c>
      <c r="G421">
        <v>3000</v>
      </c>
      <c r="H421" s="1">
        <v>45698</v>
      </c>
      <c r="I421" t="s">
        <v>63</v>
      </c>
      <c r="J421" t="s">
        <v>45</v>
      </c>
      <c r="K421">
        <v>1900</v>
      </c>
      <c r="L421">
        <v>12000</v>
      </c>
      <c r="M421">
        <v>4400</v>
      </c>
    </row>
    <row r="422" spans="1:13" x14ac:dyDescent="0.25">
      <c r="A422" t="s">
        <v>629</v>
      </c>
      <c r="B422" t="s">
        <v>50</v>
      </c>
      <c r="C422" t="s">
        <v>51</v>
      </c>
      <c r="D422" t="s">
        <v>115</v>
      </c>
      <c r="E422" t="s">
        <v>34</v>
      </c>
      <c r="F422">
        <v>2</v>
      </c>
      <c r="G422">
        <v>1800</v>
      </c>
      <c r="H422" s="1">
        <v>45811</v>
      </c>
      <c r="I422" t="s">
        <v>23</v>
      </c>
      <c r="J422" t="s">
        <v>24</v>
      </c>
      <c r="K422">
        <v>1100</v>
      </c>
      <c r="L422">
        <v>3600</v>
      </c>
      <c r="M422">
        <v>1400</v>
      </c>
    </row>
    <row r="423" spans="1:13" x14ac:dyDescent="0.25">
      <c r="A423" t="s">
        <v>630</v>
      </c>
      <c r="B423" t="s">
        <v>111</v>
      </c>
      <c r="C423" t="s">
        <v>102</v>
      </c>
      <c r="D423" t="s">
        <v>78</v>
      </c>
      <c r="E423" t="s">
        <v>53</v>
      </c>
      <c r="F423">
        <v>4</v>
      </c>
      <c r="G423">
        <v>4500</v>
      </c>
      <c r="H423" s="1">
        <v>45851</v>
      </c>
      <c r="I423" t="s">
        <v>35</v>
      </c>
      <c r="J423" t="s">
        <v>24</v>
      </c>
      <c r="K423">
        <v>2900</v>
      </c>
      <c r="L423">
        <v>18000</v>
      </c>
      <c r="M423">
        <v>6400</v>
      </c>
    </row>
    <row r="424" spans="1:13" x14ac:dyDescent="0.25">
      <c r="A424" t="s">
        <v>631</v>
      </c>
      <c r="B424" t="s">
        <v>526</v>
      </c>
      <c r="C424" t="s">
        <v>48</v>
      </c>
      <c r="D424" t="s">
        <v>92</v>
      </c>
      <c r="E424" t="s">
        <v>17</v>
      </c>
      <c r="F424">
        <v>2</v>
      </c>
      <c r="G424">
        <v>55000</v>
      </c>
      <c r="H424" s="1">
        <v>45700</v>
      </c>
      <c r="I424" t="s">
        <v>63</v>
      </c>
      <c r="J424" t="s">
        <v>39</v>
      </c>
      <c r="K424">
        <v>42000</v>
      </c>
      <c r="L424">
        <v>110000</v>
      </c>
      <c r="M424">
        <v>26000</v>
      </c>
    </row>
    <row r="425" spans="1:13" x14ac:dyDescent="0.25">
      <c r="A425" t="s">
        <v>632</v>
      </c>
      <c r="B425" t="s">
        <v>416</v>
      </c>
      <c r="C425" t="s">
        <v>133</v>
      </c>
      <c r="D425" t="s">
        <v>16</v>
      </c>
      <c r="E425" t="s">
        <v>17</v>
      </c>
      <c r="F425">
        <v>5</v>
      </c>
      <c r="G425">
        <v>5000</v>
      </c>
      <c r="H425" s="1">
        <v>45679</v>
      </c>
      <c r="I425" t="s">
        <v>18</v>
      </c>
      <c r="J425" t="s">
        <v>29</v>
      </c>
      <c r="K425">
        <v>3200</v>
      </c>
      <c r="L425">
        <v>25000</v>
      </c>
      <c r="M425">
        <v>9000</v>
      </c>
    </row>
    <row r="426" spans="1:13" x14ac:dyDescent="0.25">
      <c r="A426" t="s">
        <v>633</v>
      </c>
      <c r="B426" t="s">
        <v>130</v>
      </c>
      <c r="C426" t="s">
        <v>89</v>
      </c>
      <c r="D426" t="s">
        <v>105</v>
      </c>
      <c r="E426" t="s">
        <v>53</v>
      </c>
      <c r="F426">
        <v>3</v>
      </c>
      <c r="G426">
        <v>1200</v>
      </c>
      <c r="H426" s="1">
        <v>45681</v>
      </c>
      <c r="I426" t="s">
        <v>54</v>
      </c>
      <c r="J426" t="s">
        <v>29</v>
      </c>
      <c r="K426">
        <v>700</v>
      </c>
      <c r="L426">
        <v>3600</v>
      </c>
      <c r="M426">
        <v>1500</v>
      </c>
    </row>
    <row r="427" spans="1:13" x14ac:dyDescent="0.25">
      <c r="A427" t="s">
        <v>634</v>
      </c>
      <c r="B427" t="s">
        <v>236</v>
      </c>
      <c r="C427" t="s">
        <v>124</v>
      </c>
      <c r="D427" t="s">
        <v>75</v>
      </c>
      <c r="E427" t="s">
        <v>17</v>
      </c>
      <c r="F427">
        <v>2</v>
      </c>
      <c r="G427">
        <v>22000</v>
      </c>
      <c r="H427" s="1">
        <v>45819</v>
      </c>
      <c r="I427" t="s">
        <v>18</v>
      </c>
      <c r="J427" t="s">
        <v>29</v>
      </c>
      <c r="K427">
        <v>17000</v>
      </c>
      <c r="L427">
        <v>44000</v>
      </c>
      <c r="M427">
        <v>10000</v>
      </c>
    </row>
    <row r="428" spans="1:13" x14ac:dyDescent="0.25">
      <c r="A428" t="s">
        <v>635</v>
      </c>
      <c r="B428" t="s">
        <v>282</v>
      </c>
      <c r="C428" t="s">
        <v>32</v>
      </c>
      <c r="D428" t="s">
        <v>43</v>
      </c>
      <c r="E428" t="s">
        <v>17</v>
      </c>
      <c r="F428">
        <v>4</v>
      </c>
      <c r="G428">
        <v>1800</v>
      </c>
      <c r="H428" s="1">
        <v>45697</v>
      </c>
      <c r="I428" t="s">
        <v>79</v>
      </c>
      <c r="J428" t="s">
        <v>29</v>
      </c>
      <c r="K428">
        <v>1100</v>
      </c>
      <c r="L428">
        <v>7200</v>
      </c>
      <c r="M428">
        <v>2800</v>
      </c>
    </row>
    <row r="429" spans="1:13" x14ac:dyDescent="0.25">
      <c r="A429" t="s">
        <v>636</v>
      </c>
      <c r="B429" t="s">
        <v>132</v>
      </c>
      <c r="C429" t="s">
        <v>133</v>
      </c>
      <c r="D429" t="s">
        <v>115</v>
      </c>
      <c r="E429" t="s">
        <v>34</v>
      </c>
      <c r="F429">
        <v>5</v>
      </c>
      <c r="G429">
        <v>1800</v>
      </c>
      <c r="H429" s="1">
        <v>45857</v>
      </c>
      <c r="I429" t="s">
        <v>38</v>
      </c>
      <c r="J429" t="s">
        <v>45</v>
      </c>
      <c r="K429">
        <v>1100</v>
      </c>
      <c r="L429">
        <v>9000</v>
      </c>
      <c r="M429">
        <v>3500</v>
      </c>
    </row>
    <row r="430" spans="1:13" x14ac:dyDescent="0.25">
      <c r="A430" t="s">
        <v>637</v>
      </c>
      <c r="B430" t="s">
        <v>246</v>
      </c>
      <c r="C430" t="s">
        <v>22</v>
      </c>
      <c r="D430" t="s">
        <v>43</v>
      </c>
      <c r="E430" t="s">
        <v>17</v>
      </c>
      <c r="F430">
        <v>1</v>
      </c>
      <c r="G430">
        <v>1800</v>
      </c>
      <c r="H430" s="1">
        <v>45914</v>
      </c>
      <c r="I430" t="s">
        <v>23</v>
      </c>
      <c r="J430" t="s">
        <v>24</v>
      </c>
      <c r="K430">
        <v>1100</v>
      </c>
      <c r="L430">
        <v>1800</v>
      </c>
      <c r="M430">
        <v>700</v>
      </c>
    </row>
    <row r="431" spans="1:13" x14ac:dyDescent="0.25">
      <c r="A431" t="s">
        <v>638</v>
      </c>
      <c r="B431" t="s">
        <v>248</v>
      </c>
      <c r="C431" t="s">
        <v>48</v>
      </c>
      <c r="D431" t="s">
        <v>187</v>
      </c>
      <c r="E431" t="s">
        <v>53</v>
      </c>
      <c r="F431">
        <v>2</v>
      </c>
      <c r="G431">
        <v>3500</v>
      </c>
      <c r="H431" s="1">
        <v>45696</v>
      </c>
      <c r="I431" t="s">
        <v>63</v>
      </c>
      <c r="J431" t="s">
        <v>39</v>
      </c>
      <c r="K431">
        <v>2300</v>
      </c>
      <c r="L431">
        <v>7000</v>
      </c>
      <c r="M431">
        <v>2400</v>
      </c>
    </row>
    <row r="432" spans="1:13" x14ac:dyDescent="0.25">
      <c r="A432" t="s">
        <v>639</v>
      </c>
      <c r="B432" t="s">
        <v>159</v>
      </c>
      <c r="C432" t="s">
        <v>61</v>
      </c>
      <c r="D432" t="s">
        <v>92</v>
      </c>
      <c r="E432" t="s">
        <v>17</v>
      </c>
      <c r="F432">
        <v>3</v>
      </c>
      <c r="G432">
        <v>55000</v>
      </c>
      <c r="H432" s="1">
        <v>45888</v>
      </c>
      <c r="I432" t="s">
        <v>18</v>
      </c>
      <c r="J432" t="s">
        <v>39</v>
      </c>
      <c r="K432">
        <v>42000</v>
      </c>
      <c r="L432">
        <v>165000</v>
      </c>
      <c r="M432">
        <v>39000</v>
      </c>
    </row>
    <row r="433" spans="1:13" x14ac:dyDescent="0.25">
      <c r="A433" t="s">
        <v>640</v>
      </c>
      <c r="B433" t="s">
        <v>275</v>
      </c>
      <c r="C433" t="s">
        <v>48</v>
      </c>
      <c r="D433" t="s">
        <v>52</v>
      </c>
      <c r="E433" t="s">
        <v>53</v>
      </c>
      <c r="F433">
        <v>4</v>
      </c>
      <c r="G433">
        <v>700</v>
      </c>
      <c r="H433" s="1">
        <v>45879</v>
      </c>
      <c r="I433" t="s">
        <v>63</v>
      </c>
      <c r="J433" t="s">
        <v>24</v>
      </c>
      <c r="K433">
        <v>350</v>
      </c>
      <c r="L433">
        <v>2800</v>
      </c>
      <c r="M433">
        <v>1400</v>
      </c>
    </row>
    <row r="434" spans="1:13" x14ac:dyDescent="0.25">
      <c r="A434" t="s">
        <v>641</v>
      </c>
      <c r="B434" t="s">
        <v>201</v>
      </c>
      <c r="C434" t="s">
        <v>102</v>
      </c>
      <c r="D434" t="s">
        <v>62</v>
      </c>
      <c r="E434" t="s">
        <v>34</v>
      </c>
      <c r="F434">
        <v>2</v>
      </c>
      <c r="G434">
        <v>2200</v>
      </c>
      <c r="H434" s="1">
        <v>45695</v>
      </c>
      <c r="I434" t="s">
        <v>54</v>
      </c>
      <c r="J434" t="s">
        <v>19</v>
      </c>
      <c r="K434">
        <v>1400</v>
      </c>
      <c r="L434">
        <v>4400</v>
      </c>
      <c r="M434">
        <v>1600</v>
      </c>
    </row>
    <row r="435" spans="1:13" x14ac:dyDescent="0.25">
      <c r="A435" t="s">
        <v>642</v>
      </c>
      <c r="B435" t="s">
        <v>214</v>
      </c>
      <c r="C435" t="s">
        <v>102</v>
      </c>
      <c r="D435" t="s">
        <v>78</v>
      </c>
      <c r="E435" t="s">
        <v>53</v>
      </c>
      <c r="F435">
        <v>2</v>
      </c>
      <c r="G435">
        <v>4500</v>
      </c>
      <c r="H435" s="1">
        <v>45857</v>
      </c>
      <c r="I435" t="s">
        <v>38</v>
      </c>
      <c r="J435" t="s">
        <v>24</v>
      </c>
      <c r="K435">
        <v>2900</v>
      </c>
      <c r="L435">
        <v>9000</v>
      </c>
      <c r="M435">
        <v>3200</v>
      </c>
    </row>
    <row r="436" spans="1:13" x14ac:dyDescent="0.25">
      <c r="A436" t="s">
        <v>643</v>
      </c>
      <c r="B436" t="s">
        <v>163</v>
      </c>
      <c r="C436" t="s">
        <v>121</v>
      </c>
      <c r="D436" t="s">
        <v>28</v>
      </c>
      <c r="E436" t="s">
        <v>17</v>
      </c>
      <c r="F436">
        <v>1</v>
      </c>
      <c r="G436">
        <v>2500</v>
      </c>
      <c r="H436" s="1">
        <v>45815</v>
      </c>
      <c r="I436" t="s">
        <v>38</v>
      </c>
      <c r="J436" t="s">
        <v>39</v>
      </c>
      <c r="K436">
        <v>1500</v>
      </c>
      <c r="L436">
        <v>2500</v>
      </c>
      <c r="M436">
        <v>1000</v>
      </c>
    </row>
    <row r="437" spans="1:13" x14ac:dyDescent="0.25">
      <c r="A437" t="s">
        <v>644</v>
      </c>
      <c r="B437" t="s">
        <v>275</v>
      </c>
      <c r="C437" t="s">
        <v>48</v>
      </c>
      <c r="D437" t="s">
        <v>16</v>
      </c>
      <c r="E437" t="s">
        <v>17</v>
      </c>
      <c r="F437">
        <v>2</v>
      </c>
      <c r="G437">
        <v>5000</v>
      </c>
      <c r="H437" s="1">
        <v>45702</v>
      </c>
      <c r="I437" t="s">
        <v>63</v>
      </c>
      <c r="J437" t="s">
        <v>45</v>
      </c>
      <c r="K437">
        <v>3200</v>
      </c>
      <c r="L437">
        <v>10000</v>
      </c>
      <c r="M437">
        <v>3600</v>
      </c>
    </row>
    <row r="438" spans="1:13" x14ac:dyDescent="0.25">
      <c r="A438" t="s">
        <v>645</v>
      </c>
      <c r="B438" t="s">
        <v>440</v>
      </c>
      <c r="C438" t="s">
        <v>124</v>
      </c>
      <c r="D438" t="s">
        <v>52</v>
      </c>
      <c r="E438" t="s">
        <v>53</v>
      </c>
      <c r="F438">
        <v>5</v>
      </c>
      <c r="G438">
        <v>700</v>
      </c>
      <c r="H438" s="1">
        <v>45920</v>
      </c>
      <c r="I438" t="s">
        <v>44</v>
      </c>
      <c r="J438" t="s">
        <v>24</v>
      </c>
      <c r="K438">
        <v>350</v>
      </c>
      <c r="L438">
        <v>3500</v>
      </c>
      <c r="M438">
        <v>1750</v>
      </c>
    </row>
    <row r="439" spans="1:13" x14ac:dyDescent="0.25">
      <c r="A439" t="s">
        <v>646</v>
      </c>
      <c r="B439" t="s">
        <v>433</v>
      </c>
      <c r="C439" t="s">
        <v>70</v>
      </c>
      <c r="D439" t="s">
        <v>28</v>
      </c>
      <c r="E439" t="s">
        <v>17</v>
      </c>
      <c r="F439">
        <v>3</v>
      </c>
      <c r="G439">
        <v>2500</v>
      </c>
      <c r="H439" s="1">
        <v>45941</v>
      </c>
      <c r="I439" t="s">
        <v>38</v>
      </c>
      <c r="J439" t="s">
        <v>45</v>
      </c>
      <c r="K439">
        <v>1500</v>
      </c>
      <c r="L439">
        <v>7500</v>
      </c>
      <c r="M439">
        <v>3000</v>
      </c>
    </row>
    <row r="440" spans="1:13" x14ac:dyDescent="0.25">
      <c r="A440" t="s">
        <v>647</v>
      </c>
      <c r="B440" t="s">
        <v>224</v>
      </c>
      <c r="C440" t="s">
        <v>89</v>
      </c>
      <c r="D440" t="s">
        <v>92</v>
      </c>
      <c r="E440" t="s">
        <v>17</v>
      </c>
      <c r="F440">
        <v>3</v>
      </c>
      <c r="G440">
        <v>55000</v>
      </c>
      <c r="H440" s="1">
        <v>45869</v>
      </c>
      <c r="I440" t="s">
        <v>44</v>
      </c>
      <c r="J440" t="s">
        <v>29</v>
      </c>
      <c r="K440">
        <v>42000</v>
      </c>
      <c r="L440">
        <v>165000</v>
      </c>
      <c r="M440">
        <v>39000</v>
      </c>
    </row>
    <row r="441" spans="1:13" x14ac:dyDescent="0.25">
      <c r="A441" t="s">
        <v>648</v>
      </c>
      <c r="B441" t="s">
        <v>69</v>
      </c>
      <c r="C441" t="s">
        <v>70</v>
      </c>
      <c r="D441" t="s">
        <v>115</v>
      </c>
      <c r="E441" t="s">
        <v>34</v>
      </c>
      <c r="F441">
        <v>5</v>
      </c>
      <c r="G441">
        <v>1800</v>
      </c>
      <c r="H441" s="1">
        <v>45924</v>
      </c>
      <c r="I441" t="s">
        <v>63</v>
      </c>
      <c r="J441" t="s">
        <v>19</v>
      </c>
      <c r="K441">
        <v>1100</v>
      </c>
      <c r="L441">
        <v>9000</v>
      </c>
      <c r="M441">
        <v>3500</v>
      </c>
    </row>
    <row r="442" spans="1:13" x14ac:dyDescent="0.25">
      <c r="A442" t="s">
        <v>649</v>
      </c>
      <c r="B442" t="s">
        <v>321</v>
      </c>
      <c r="C442" t="s">
        <v>22</v>
      </c>
      <c r="D442" t="s">
        <v>43</v>
      </c>
      <c r="E442" t="s">
        <v>17</v>
      </c>
      <c r="F442">
        <v>3</v>
      </c>
      <c r="G442">
        <v>1800</v>
      </c>
      <c r="H442" s="1">
        <v>45812</v>
      </c>
      <c r="I442" t="s">
        <v>35</v>
      </c>
      <c r="J442" t="s">
        <v>19</v>
      </c>
      <c r="K442">
        <v>1100</v>
      </c>
      <c r="L442">
        <v>5400</v>
      </c>
      <c r="M442">
        <v>2100</v>
      </c>
    </row>
    <row r="443" spans="1:13" x14ac:dyDescent="0.25">
      <c r="A443" t="s">
        <v>650</v>
      </c>
      <c r="B443" t="s">
        <v>218</v>
      </c>
      <c r="C443" t="s">
        <v>191</v>
      </c>
      <c r="D443" t="s">
        <v>28</v>
      </c>
      <c r="E443" t="s">
        <v>17</v>
      </c>
      <c r="F443">
        <v>2</v>
      </c>
      <c r="G443">
        <v>2500</v>
      </c>
      <c r="H443" s="1">
        <v>45880</v>
      </c>
      <c r="I443" t="s">
        <v>63</v>
      </c>
      <c r="J443" t="s">
        <v>39</v>
      </c>
      <c r="K443">
        <v>1500</v>
      </c>
      <c r="L443">
        <v>5000</v>
      </c>
      <c r="M443">
        <v>2000</v>
      </c>
    </row>
    <row r="444" spans="1:13" x14ac:dyDescent="0.25">
      <c r="A444" t="s">
        <v>651</v>
      </c>
      <c r="B444" t="s">
        <v>297</v>
      </c>
      <c r="C444" t="s">
        <v>124</v>
      </c>
      <c r="D444" t="s">
        <v>105</v>
      </c>
      <c r="E444" t="s">
        <v>53</v>
      </c>
      <c r="F444">
        <v>1</v>
      </c>
      <c r="G444">
        <v>1200</v>
      </c>
      <c r="H444" s="1">
        <v>45842</v>
      </c>
      <c r="I444" t="s">
        <v>18</v>
      </c>
      <c r="J444" t="s">
        <v>45</v>
      </c>
      <c r="K444">
        <v>700</v>
      </c>
      <c r="L444">
        <v>1200</v>
      </c>
      <c r="M444">
        <v>500</v>
      </c>
    </row>
    <row r="445" spans="1:13" x14ac:dyDescent="0.25">
      <c r="A445" t="s">
        <v>652</v>
      </c>
      <c r="B445" t="s">
        <v>319</v>
      </c>
      <c r="C445" t="s">
        <v>66</v>
      </c>
      <c r="D445" t="s">
        <v>33</v>
      </c>
      <c r="E445" t="s">
        <v>34</v>
      </c>
      <c r="F445">
        <v>4</v>
      </c>
      <c r="G445">
        <v>800</v>
      </c>
      <c r="H445" s="1">
        <v>45712</v>
      </c>
      <c r="I445" t="s">
        <v>54</v>
      </c>
      <c r="J445" t="s">
        <v>24</v>
      </c>
      <c r="K445">
        <v>450</v>
      </c>
      <c r="L445">
        <v>3200</v>
      </c>
      <c r="M445">
        <v>1400</v>
      </c>
    </row>
    <row r="446" spans="1:13" x14ac:dyDescent="0.25">
      <c r="A446" t="s">
        <v>653</v>
      </c>
      <c r="B446" t="s">
        <v>137</v>
      </c>
      <c r="C446" t="s">
        <v>57</v>
      </c>
      <c r="D446" t="s">
        <v>78</v>
      </c>
      <c r="E446" t="s">
        <v>53</v>
      </c>
      <c r="F446">
        <v>3</v>
      </c>
      <c r="G446">
        <v>4500</v>
      </c>
      <c r="H446" s="1">
        <v>45975</v>
      </c>
      <c r="I446" t="s">
        <v>38</v>
      </c>
      <c r="J446" t="s">
        <v>45</v>
      </c>
      <c r="K446">
        <v>2900</v>
      </c>
      <c r="L446">
        <v>13500</v>
      </c>
      <c r="M446">
        <v>4800</v>
      </c>
    </row>
    <row r="447" spans="1:13" x14ac:dyDescent="0.25">
      <c r="A447" t="s">
        <v>654</v>
      </c>
      <c r="B447" t="s">
        <v>319</v>
      </c>
      <c r="C447" t="s">
        <v>66</v>
      </c>
      <c r="D447" t="s">
        <v>112</v>
      </c>
      <c r="E447" t="s">
        <v>34</v>
      </c>
      <c r="F447">
        <v>4</v>
      </c>
      <c r="G447">
        <v>1500</v>
      </c>
      <c r="H447" s="1">
        <v>45991</v>
      </c>
      <c r="I447" t="s">
        <v>54</v>
      </c>
      <c r="J447" t="s">
        <v>39</v>
      </c>
      <c r="K447">
        <v>900</v>
      </c>
      <c r="L447">
        <v>6000</v>
      </c>
      <c r="M447">
        <v>2400</v>
      </c>
    </row>
    <row r="448" spans="1:13" x14ac:dyDescent="0.25">
      <c r="A448" t="s">
        <v>655</v>
      </c>
      <c r="B448" t="s">
        <v>172</v>
      </c>
      <c r="C448" t="s">
        <v>61</v>
      </c>
      <c r="D448" t="s">
        <v>33</v>
      </c>
      <c r="E448" t="s">
        <v>34</v>
      </c>
      <c r="F448">
        <v>4</v>
      </c>
      <c r="G448">
        <v>800</v>
      </c>
      <c r="H448" s="1">
        <v>45818</v>
      </c>
      <c r="I448" t="s">
        <v>63</v>
      </c>
      <c r="J448" t="s">
        <v>39</v>
      </c>
      <c r="K448">
        <v>450</v>
      </c>
      <c r="L448">
        <v>3200</v>
      </c>
      <c r="M448">
        <v>1400</v>
      </c>
    </row>
    <row r="449" spans="1:13" x14ac:dyDescent="0.25">
      <c r="A449" t="s">
        <v>656</v>
      </c>
      <c r="B449" t="s">
        <v>14</v>
      </c>
      <c r="C449" t="s">
        <v>15</v>
      </c>
      <c r="D449" t="s">
        <v>62</v>
      </c>
      <c r="E449" t="s">
        <v>34</v>
      </c>
      <c r="F449">
        <v>4</v>
      </c>
      <c r="G449">
        <v>2200</v>
      </c>
      <c r="H449" s="1">
        <v>45952</v>
      </c>
      <c r="I449" t="s">
        <v>38</v>
      </c>
      <c r="J449" t="s">
        <v>45</v>
      </c>
      <c r="K449">
        <v>1400</v>
      </c>
      <c r="L449">
        <v>8800</v>
      </c>
      <c r="M449">
        <v>3200</v>
      </c>
    </row>
    <row r="450" spans="1:13" x14ac:dyDescent="0.25">
      <c r="A450" t="s">
        <v>657</v>
      </c>
      <c r="B450" t="s">
        <v>186</v>
      </c>
      <c r="C450" t="s">
        <v>27</v>
      </c>
      <c r="D450" t="s">
        <v>37</v>
      </c>
      <c r="E450" t="s">
        <v>34</v>
      </c>
      <c r="F450">
        <v>4</v>
      </c>
      <c r="G450">
        <v>3000</v>
      </c>
      <c r="H450" s="1">
        <v>45844</v>
      </c>
      <c r="I450" t="s">
        <v>18</v>
      </c>
      <c r="J450" t="s">
        <v>29</v>
      </c>
      <c r="K450">
        <v>1900</v>
      </c>
      <c r="L450">
        <v>12000</v>
      </c>
      <c r="M450">
        <v>4400</v>
      </c>
    </row>
    <row r="451" spans="1:13" x14ac:dyDescent="0.25">
      <c r="A451" t="s">
        <v>658</v>
      </c>
      <c r="B451" t="s">
        <v>469</v>
      </c>
      <c r="C451" t="s">
        <v>51</v>
      </c>
      <c r="D451" t="s">
        <v>52</v>
      </c>
      <c r="E451" t="s">
        <v>53</v>
      </c>
      <c r="F451">
        <v>2</v>
      </c>
      <c r="G451">
        <v>700</v>
      </c>
      <c r="H451" s="1">
        <v>46007</v>
      </c>
      <c r="I451" t="s">
        <v>23</v>
      </c>
      <c r="J451" t="s">
        <v>45</v>
      </c>
      <c r="K451">
        <v>350</v>
      </c>
      <c r="L451">
        <v>1400</v>
      </c>
      <c r="M451">
        <v>700</v>
      </c>
    </row>
    <row r="452" spans="1:13" x14ac:dyDescent="0.25">
      <c r="A452" t="s">
        <v>659</v>
      </c>
      <c r="B452" t="s">
        <v>56</v>
      </c>
      <c r="C452" t="s">
        <v>57</v>
      </c>
      <c r="D452" t="s">
        <v>33</v>
      </c>
      <c r="E452" t="s">
        <v>34</v>
      </c>
      <c r="F452">
        <v>4</v>
      </c>
      <c r="G452">
        <v>800</v>
      </c>
      <c r="H452" s="1">
        <v>45807</v>
      </c>
      <c r="I452" t="s">
        <v>63</v>
      </c>
      <c r="J452" t="s">
        <v>45</v>
      </c>
      <c r="K452">
        <v>450</v>
      </c>
      <c r="L452">
        <v>3200</v>
      </c>
      <c r="M452">
        <v>1400</v>
      </c>
    </row>
    <row r="453" spans="1:13" x14ac:dyDescent="0.25">
      <c r="A453" t="s">
        <v>660</v>
      </c>
      <c r="B453" t="s">
        <v>297</v>
      </c>
      <c r="C453" t="s">
        <v>124</v>
      </c>
      <c r="D453" t="s">
        <v>43</v>
      </c>
      <c r="E453" t="s">
        <v>17</v>
      </c>
      <c r="F453">
        <v>3</v>
      </c>
      <c r="G453">
        <v>1800</v>
      </c>
      <c r="H453" s="1">
        <v>45781</v>
      </c>
      <c r="I453" t="s">
        <v>79</v>
      </c>
      <c r="J453" t="s">
        <v>45</v>
      </c>
      <c r="K453">
        <v>1100</v>
      </c>
      <c r="L453">
        <v>5400</v>
      </c>
      <c r="M453">
        <v>2100</v>
      </c>
    </row>
    <row r="454" spans="1:13" x14ac:dyDescent="0.25">
      <c r="A454" t="s">
        <v>661</v>
      </c>
      <c r="B454" t="s">
        <v>142</v>
      </c>
      <c r="C454" t="s">
        <v>15</v>
      </c>
      <c r="D454" t="s">
        <v>78</v>
      </c>
      <c r="E454" t="s">
        <v>53</v>
      </c>
      <c r="F454">
        <v>1</v>
      </c>
      <c r="G454">
        <v>4500</v>
      </c>
      <c r="H454" s="1">
        <v>45887</v>
      </c>
      <c r="I454" t="s">
        <v>63</v>
      </c>
      <c r="J454" t="s">
        <v>29</v>
      </c>
      <c r="K454">
        <v>2900</v>
      </c>
      <c r="L454">
        <v>4500</v>
      </c>
      <c r="M454">
        <v>1600</v>
      </c>
    </row>
    <row r="455" spans="1:13" x14ac:dyDescent="0.25">
      <c r="A455" t="s">
        <v>662</v>
      </c>
      <c r="B455" t="s">
        <v>366</v>
      </c>
      <c r="C455" t="s">
        <v>27</v>
      </c>
      <c r="D455" t="s">
        <v>97</v>
      </c>
      <c r="E455" t="s">
        <v>53</v>
      </c>
      <c r="F455">
        <v>4</v>
      </c>
      <c r="G455">
        <v>1000</v>
      </c>
      <c r="H455" s="1">
        <v>45936</v>
      </c>
      <c r="I455" t="s">
        <v>38</v>
      </c>
      <c r="J455" t="s">
        <v>29</v>
      </c>
      <c r="K455">
        <v>600</v>
      </c>
      <c r="L455">
        <v>4000</v>
      </c>
      <c r="M455">
        <v>1600</v>
      </c>
    </row>
    <row r="456" spans="1:13" x14ac:dyDescent="0.25">
      <c r="A456" t="s">
        <v>663</v>
      </c>
      <c r="B456" t="s">
        <v>226</v>
      </c>
      <c r="C456" t="s">
        <v>191</v>
      </c>
      <c r="D456" t="s">
        <v>28</v>
      </c>
      <c r="E456" t="s">
        <v>17</v>
      </c>
      <c r="F456">
        <v>1</v>
      </c>
      <c r="G456">
        <v>2500</v>
      </c>
      <c r="H456" s="1">
        <v>45785</v>
      </c>
      <c r="I456" t="s">
        <v>79</v>
      </c>
      <c r="J456" t="s">
        <v>29</v>
      </c>
      <c r="K456">
        <v>1500</v>
      </c>
      <c r="L456">
        <v>2500</v>
      </c>
      <c r="M456">
        <v>1000</v>
      </c>
    </row>
    <row r="457" spans="1:13" x14ac:dyDescent="0.25">
      <c r="A457" t="s">
        <v>664</v>
      </c>
      <c r="B457" t="s">
        <v>107</v>
      </c>
      <c r="C457" t="s">
        <v>15</v>
      </c>
      <c r="D457" t="s">
        <v>75</v>
      </c>
      <c r="E457" t="s">
        <v>17</v>
      </c>
      <c r="F457">
        <v>5</v>
      </c>
      <c r="G457">
        <v>22000</v>
      </c>
      <c r="H457" s="1">
        <v>45988</v>
      </c>
      <c r="I457" t="s">
        <v>38</v>
      </c>
      <c r="J457" t="s">
        <v>45</v>
      </c>
      <c r="K457">
        <v>17000</v>
      </c>
      <c r="L457">
        <v>110000</v>
      </c>
      <c r="M457">
        <v>25000</v>
      </c>
    </row>
    <row r="458" spans="1:13" x14ac:dyDescent="0.25">
      <c r="A458" t="s">
        <v>665</v>
      </c>
      <c r="B458" t="s">
        <v>182</v>
      </c>
      <c r="C458" t="s">
        <v>42</v>
      </c>
      <c r="D458" t="s">
        <v>16</v>
      </c>
      <c r="E458" t="s">
        <v>17</v>
      </c>
      <c r="F458">
        <v>1</v>
      </c>
      <c r="G458">
        <v>5000</v>
      </c>
      <c r="H458" s="1">
        <v>45708</v>
      </c>
      <c r="I458" t="s">
        <v>18</v>
      </c>
      <c r="J458" t="s">
        <v>29</v>
      </c>
      <c r="K458">
        <v>3200</v>
      </c>
      <c r="L458">
        <v>5000</v>
      </c>
      <c r="M458">
        <v>1800</v>
      </c>
    </row>
    <row r="459" spans="1:13" x14ac:dyDescent="0.25">
      <c r="A459" t="s">
        <v>666</v>
      </c>
      <c r="B459" t="s">
        <v>206</v>
      </c>
      <c r="C459" t="s">
        <v>48</v>
      </c>
      <c r="D459" t="s">
        <v>97</v>
      </c>
      <c r="E459" t="s">
        <v>53</v>
      </c>
      <c r="F459">
        <v>5</v>
      </c>
      <c r="G459">
        <v>1000</v>
      </c>
      <c r="H459" s="1">
        <v>45955</v>
      </c>
      <c r="I459" t="s">
        <v>18</v>
      </c>
      <c r="J459" t="s">
        <v>45</v>
      </c>
      <c r="K459">
        <v>600</v>
      </c>
      <c r="L459">
        <v>5000</v>
      </c>
      <c r="M459">
        <v>2000</v>
      </c>
    </row>
    <row r="460" spans="1:13" x14ac:dyDescent="0.25">
      <c r="A460" t="s">
        <v>667</v>
      </c>
      <c r="B460" t="s">
        <v>355</v>
      </c>
      <c r="C460" t="s">
        <v>22</v>
      </c>
      <c r="D460" t="s">
        <v>58</v>
      </c>
      <c r="E460" t="s">
        <v>34</v>
      </c>
      <c r="F460">
        <v>4</v>
      </c>
      <c r="G460">
        <v>2500</v>
      </c>
      <c r="H460" s="1">
        <v>45895</v>
      </c>
      <c r="I460" t="s">
        <v>79</v>
      </c>
      <c r="J460" t="s">
        <v>39</v>
      </c>
      <c r="K460">
        <v>1600</v>
      </c>
      <c r="L460">
        <v>10000</v>
      </c>
      <c r="M460">
        <v>3600</v>
      </c>
    </row>
    <row r="461" spans="1:13" x14ac:dyDescent="0.25">
      <c r="A461" t="s">
        <v>668</v>
      </c>
      <c r="B461" t="s">
        <v>194</v>
      </c>
      <c r="C461" t="s">
        <v>84</v>
      </c>
      <c r="D461" t="s">
        <v>92</v>
      </c>
      <c r="E461" t="s">
        <v>17</v>
      </c>
      <c r="F461">
        <v>4</v>
      </c>
      <c r="G461">
        <v>55000</v>
      </c>
      <c r="H461" s="1">
        <v>45711</v>
      </c>
      <c r="I461" t="s">
        <v>63</v>
      </c>
      <c r="J461" t="s">
        <v>24</v>
      </c>
      <c r="K461">
        <v>42000</v>
      </c>
      <c r="L461">
        <v>220000</v>
      </c>
      <c r="M461">
        <v>52000</v>
      </c>
    </row>
    <row r="462" spans="1:13" x14ac:dyDescent="0.25">
      <c r="A462" t="s">
        <v>669</v>
      </c>
      <c r="B462" t="s">
        <v>203</v>
      </c>
      <c r="C462" t="s">
        <v>89</v>
      </c>
      <c r="D462" t="s">
        <v>16</v>
      </c>
      <c r="E462" t="s">
        <v>17</v>
      </c>
      <c r="F462">
        <v>2</v>
      </c>
      <c r="G462">
        <v>5000</v>
      </c>
      <c r="H462" s="1">
        <v>45836</v>
      </c>
      <c r="I462" t="s">
        <v>38</v>
      </c>
      <c r="J462" t="s">
        <v>45</v>
      </c>
      <c r="K462">
        <v>3200</v>
      </c>
      <c r="L462">
        <v>10000</v>
      </c>
      <c r="M462">
        <v>3600</v>
      </c>
    </row>
    <row r="463" spans="1:13" x14ac:dyDescent="0.25">
      <c r="A463" t="s">
        <v>670</v>
      </c>
      <c r="B463" t="s">
        <v>180</v>
      </c>
      <c r="C463" t="s">
        <v>27</v>
      </c>
      <c r="D463" t="s">
        <v>33</v>
      </c>
      <c r="E463" t="s">
        <v>34</v>
      </c>
      <c r="F463">
        <v>5</v>
      </c>
      <c r="G463">
        <v>800</v>
      </c>
      <c r="H463" s="1">
        <v>45905</v>
      </c>
      <c r="I463" t="s">
        <v>35</v>
      </c>
      <c r="J463" t="s">
        <v>24</v>
      </c>
      <c r="K463">
        <v>450</v>
      </c>
      <c r="L463">
        <v>4000</v>
      </c>
      <c r="M463">
        <v>1750</v>
      </c>
    </row>
    <row r="464" spans="1:13" x14ac:dyDescent="0.25">
      <c r="A464" t="s">
        <v>671</v>
      </c>
      <c r="B464" t="s">
        <v>56</v>
      </c>
      <c r="C464" t="s">
        <v>57</v>
      </c>
      <c r="D464" t="s">
        <v>67</v>
      </c>
      <c r="E464" t="s">
        <v>53</v>
      </c>
      <c r="F464">
        <v>4</v>
      </c>
      <c r="G464">
        <v>2800</v>
      </c>
      <c r="H464" s="1">
        <v>45821</v>
      </c>
      <c r="I464" t="s">
        <v>54</v>
      </c>
      <c r="J464" t="s">
        <v>24</v>
      </c>
      <c r="K464">
        <v>1800</v>
      </c>
      <c r="L464">
        <v>11200</v>
      </c>
      <c r="M464">
        <v>4000</v>
      </c>
    </row>
    <row r="465" spans="1:13" x14ac:dyDescent="0.25">
      <c r="A465" t="s">
        <v>672</v>
      </c>
      <c r="B465" t="s">
        <v>127</v>
      </c>
      <c r="C465" t="s">
        <v>48</v>
      </c>
      <c r="D465" t="s">
        <v>16</v>
      </c>
      <c r="E465" t="s">
        <v>17</v>
      </c>
      <c r="F465">
        <v>1</v>
      </c>
      <c r="G465">
        <v>5000</v>
      </c>
      <c r="H465" s="1">
        <v>45833</v>
      </c>
      <c r="I465" t="s">
        <v>79</v>
      </c>
      <c r="J465" t="s">
        <v>19</v>
      </c>
      <c r="K465">
        <v>3200</v>
      </c>
      <c r="L465">
        <v>5000</v>
      </c>
      <c r="M465">
        <v>1800</v>
      </c>
    </row>
    <row r="466" spans="1:13" x14ac:dyDescent="0.25">
      <c r="A466" t="s">
        <v>673</v>
      </c>
      <c r="B466" t="s">
        <v>86</v>
      </c>
      <c r="C466" t="s">
        <v>51</v>
      </c>
      <c r="D466" t="s">
        <v>97</v>
      </c>
      <c r="E466" t="s">
        <v>53</v>
      </c>
      <c r="F466">
        <v>2</v>
      </c>
      <c r="G466">
        <v>1000</v>
      </c>
      <c r="H466" s="1">
        <v>45940</v>
      </c>
      <c r="I466" t="s">
        <v>38</v>
      </c>
      <c r="J466" t="s">
        <v>29</v>
      </c>
      <c r="K466">
        <v>600</v>
      </c>
      <c r="L466">
        <v>2000</v>
      </c>
      <c r="M466">
        <v>800</v>
      </c>
    </row>
    <row r="467" spans="1:13" x14ac:dyDescent="0.25">
      <c r="A467" t="s">
        <v>674</v>
      </c>
      <c r="B467" t="s">
        <v>570</v>
      </c>
      <c r="C467" t="s">
        <v>70</v>
      </c>
      <c r="D467" t="s">
        <v>187</v>
      </c>
      <c r="E467" t="s">
        <v>53</v>
      </c>
      <c r="F467">
        <v>4</v>
      </c>
      <c r="G467">
        <v>3500</v>
      </c>
      <c r="H467" s="1">
        <v>45776</v>
      </c>
      <c r="I467" t="s">
        <v>79</v>
      </c>
      <c r="J467" t="s">
        <v>19</v>
      </c>
      <c r="K467">
        <v>2300</v>
      </c>
      <c r="L467">
        <v>14000</v>
      </c>
      <c r="M467">
        <v>4800</v>
      </c>
    </row>
    <row r="468" spans="1:13" x14ac:dyDescent="0.25">
      <c r="A468" t="s">
        <v>675</v>
      </c>
      <c r="B468" t="s">
        <v>289</v>
      </c>
      <c r="C468" t="s">
        <v>191</v>
      </c>
      <c r="D468" t="s">
        <v>187</v>
      </c>
      <c r="E468" t="s">
        <v>53</v>
      </c>
      <c r="F468">
        <v>4</v>
      </c>
      <c r="G468">
        <v>3500</v>
      </c>
      <c r="H468" s="1">
        <v>45672</v>
      </c>
      <c r="I468" t="s">
        <v>35</v>
      </c>
      <c r="J468" t="s">
        <v>29</v>
      </c>
      <c r="K468">
        <v>2300</v>
      </c>
      <c r="L468">
        <v>14000</v>
      </c>
      <c r="M468">
        <v>4800</v>
      </c>
    </row>
    <row r="469" spans="1:13" x14ac:dyDescent="0.25">
      <c r="A469" t="s">
        <v>676</v>
      </c>
      <c r="B469" t="s">
        <v>150</v>
      </c>
      <c r="C469" t="s">
        <v>66</v>
      </c>
      <c r="D469" t="s">
        <v>187</v>
      </c>
      <c r="E469" t="s">
        <v>53</v>
      </c>
      <c r="F469">
        <v>4</v>
      </c>
      <c r="G469">
        <v>3500</v>
      </c>
      <c r="H469" s="1">
        <v>45660</v>
      </c>
      <c r="I469" t="s">
        <v>18</v>
      </c>
      <c r="J469" t="s">
        <v>39</v>
      </c>
      <c r="K469">
        <v>2300</v>
      </c>
      <c r="L469">
        <v>14000</v>
      </c>
      <c r="M469">
        <v>4800</v>
      </c>
    </row>
    <row r="470" spans="1:13" x14ac:dyDescent="0.25">
      <c r="A470" t="s">
        <v>677</v>
      </c>
      <c r="B470" t="s">
        <v>91</v>
      </c>
      <c r="C470" t="s">
        <v>57</v>
      </c>
      <c r="D470" t="s">
        <v>28</v>
      </c>
      <c r="E470" t="s">
        <v>17</v>
      </c>
      <c r="F470">
        <v>5</v>
      </c>
      <c r="G470">
        <v>2500</v>
      </c>
      <c r="H470" s="1">
        <v>45710</v>
      </c>
      <c r="I470" t="s">
        <v>79</v>
      </c>
      <c r="J470" t="s">
        <v>39</v>
      </c>
      <c r="K470">
        <v>1500</v>
      </c>
      <c r="L470">
        <v>12500</v>
      </c>
      <c r="M470">
        <v>5000</v>
      </c>
    </row>
    <row r="471" spans="1:13" x14ac:dyDescent="0.25">
      <c r="A471" t="s">
        <v>678</v>
      </c>
      <c r="B471" t="s">
        <v>186</v>
      </c>
      <c r="C471" t="s">
        <v>27</v>
      </c>
      <c r="D471" t="s">
        <v>112</v>
      </c>
      <c r="E471" t="s">
        <v>34</v>
      </c>
      <c r="F471">
        <v>2</v>
      </c>
      <c r="G471">
        <v>1500</v>
      </c>
      <c r="H471" s="1">
        <v>45892</v>
      </c>
      <c r="I471" t="s">
        <v>54</v>
      </c>
      <c r="J471" t="s">
        <v>45</v>
      </c>
      <c r="K471">
        <v>900</v>
      </c>
      <c r="L471">
        <v>3000</v>
      </c>
      <c r="M471">
        <v>1200</v>
      </c>
    </row>
    <row r="472" spans="1:13" x14ac:dyDescent="0.25">
      <c r="A472" t="s">
        <v>679</v>
      </c>
      <c r="B472" t="s">
        <v>224</v>
      </c>
      <c r="C472" t="s">
        <v>89</v>
      </c>
      <c r="D472" t="s">
        <v>97</v>
      </c>
      <c r="E472" t="s">
        <v>53</v>
      </c>
      <c r="F472">
        <v>3</v>
      </c>
      <c r="G472">
        <v>1000</v>
      </c>
      <c r="H472" s="1">
        <v>45963</v>
      </c>
      <c r="I472" t="s">
        <v>63</v>
      </c>
      <c r="J472" t="s">
        <v>29</v>
      </c>
      <c r="K472">
        <v>600</v>
      </c>
      <c r="L472">
        <v>3000</v>
      </c>
      <c r="M472">
        <v>1200</v>
      </c>
    </row>
    <row r="473" spans="1:13" x14ac:dyDescent="0.25">
      <c r="A473" t="s">
        <v>680</v>
      </c>
      <c r="B473" t="s">
        <v>176</v>
      </c>
      <c r="C473" t="s">
        <v>57</v>
      </c>
      <c r="D473" t="s">
        <v>16</v>
      </c>
      <c r="E473" t="s">
        <v>17</v>
      </c>
      <c r="F473">
        <v>3</v>
      </c>
      <c r="G473">
        <v>5000</v>
      </c>
      <c r="H473" s="1">
        <v>45838</v>
      </c>
      <c r="I473" t="s">
        <v>79</v>
      </c>
      <c r="J473" t="s">
        <v>39</v>
      </c>
      <c r="K473">
        <v>3200</v>
      </c>
      <c r="L473">
        <v>15000</v>
      </c>
      <c r="M473">
        <v>5400</v>
      </c>
    </row>
    <row r="474" spans="1:13" x14ac:dyDescent="0.25">
      <c r="A474" t="s">
        <v>681</v>
      </c>
      <c r="B474" t="s">
        <v>611</v>
      </c>
      <c r="C474" t="s">
        <v>191</v>
      </c>
      <c r="D474" t="s">
        <v>28</v>
      </c>
      <c r="E474" t="s">
        <v>17</v>
      </c>
      <c r="F474">
        <v>2</v>
      </c>
      <c r="G474">
        <v>2500</v>
      </c>
      <c r="H474" s="1">
        <v>45818</v>
      </c>
      <c r="I474" t="s">
        <v>18</v>
      </c>
      <c r="J474" t="s">
        <v>39</v>
      </c>
      <c r="K474">
        <v>1500</v>
      </c>
      <c r="L474">
        <v>5000</v>
      </c>
      <c r="M474">
        <v>2000</v>
      </c>
    </row>
    <row r="475" spans="1:13" x14ac:dyDescent="0.25">
      <c r="A475" t="s">
        <v>682</v>
      </c>
      <c r="B475" t="s">
        <v>402</v>
      </c>
      <c r="C475" t="s">
        <v>32</v>
      </c>
      <c r="D475" t="s">
        <v>16</v>
      </c>
      <c r="E475" t="s">
        <v>17</v>
      </c>
      <c r="F475">
        <v>2</v>
      </c>
      <c r="G475">
        <v>5000</v>
      </c>
      <c r="H475" s="1">
        <v>45849</v>
      </c>
      <c r="I475" t="s">
        <v>63</v>
      </c>
      <c r="J475" t="s">
        <v>45</v>
      </c>
      <c r="K475">
        <v>3200</v>
      </c>
      <c r="L475">
        <v>10000</v>
      </c>
      <c r="M475">
        <v>3600</v>
      </c>
    </row>
    <row r="476" spans="1:13" x14ac:dyDescent="0.25">
      <c r="A476" t="s">
        <v>683</v>
      </c>
      <c r="B476" t="s">
        <v>21</v>
      </c>
      <c r="C476" t="s">
        <v>22</v>
      </c>
      <c r="D476" t="s">
        <v>43</v>
      </c>
      <c r="E476" t="s">
        <v>17</v>
      </c>
      <c r="F476">
        <v>5</v>
      </c>
      <c r="G476">
        <v>1800</v>
      </c>
      <c r="H476" s="1">
        <v>45854</v>
      </c>
      <c r="I476" t="s">
        <v>79</v>
      </c>
      <c r="J476" t="s">
        <v>45</v>
      </c>
      <c r="K476">
        <v>1100</v>
      </c>
      <c r="L476">
        <v>9000</v>
      </c>
      <c r="M476">
        <v>3500</v>
      </c>
    </row>
    <row r="477" spans="1:13" x14ac:dyDescent="0.25">
      <c r="A477" t="s">
        <v>684</v>
      </c>
      <c r="B477" t="s">
        <v>685</v>
      </c>
      <c r="C477" t="s">
        <v>15</v>
      </c>
      <c r="D477" t="s">
        <v>52</v>
      </c>
      <c r="E477" t="s">
        <v>53</v>
      </c>
      <c r="F477">
        <v>2</v>
      </c>
      <c r="G477">
        <v>700</v>
      </c>
      <c r="H477" s="1">
        <v>45942</v>
      </c>
      <c r="I477" t="s">
        <v>35</v>
      </c>
      <c r="J477" t="s">
        <v>39</v>
      </c>
      <c r="K477">
        <v>350</v>
      </c>
      <c r="L477">
        <v>1400</v>
      </c>
      <c r="M477">
        <v>700</v>
      </c>
    </row>
    <row r="478" spans="1:13" x14ac:dyDescent="0.25">
      <c r="A478" t="s">
        <v>686</v>
      </c>
      <c r="B478" t="s">
        <v>431</v>
      </c>
      <c r="C478" t="s">
        <v>84</v>
      </c>
      <c r="D478" t="s">
        <v>43</v>
      </c>
      <c r="E478" t="s">
        <v>17</v>
      </c>
      <c r="F478">
        <v>2</v>
      </c>
      <c r="G478">
        <v>1800</v>
      </c>
      <c r="H478" s="1">
        <v>45819</v>
      </c>
      <c r="I478" t="s">
        <v>23</v>
      </c>
      <c r="J478" t="s">
        <v>39</v>
      </c>
      <c r="K478">
        <v>1100</v>
      </c>
      <c r="L478">
        <v>3600</v>
      </c>
      <c r="M478">
        <v>1400</v>
      </c>
    </row>
    <row r="479" spans="1:13" x14ac:dyDescent="0.25">
      <c r="A479" t="s">
        <v>687</v>
      </c>
      <c r="B479" t="s">
        <v>178</v>
      </c>
      <c r="C479" t="s">
        <v>27</v>
      </c>
      <c r="D479" t="s">
        <v>92</v>
      </c>
      <c r="E479" t="s">
        <v>17</v>
      </c>
      <c r="F479">
        <v>4</v>
      </c>
      <c r="G479">
        <v>55000</v>
      </c>
      <c r="H479" s="1">
        <v>45727</v>
      </c>
      <c r="I479" t="s">
        <v>63</v>
      </c>
      <c r="J479" t="s">
        <v>29</v>
      </c>
      <c r="K479">
        <v>42000</v>
      </c>
      <c r="L479">
        <v>220000</v>
      </c>
      <c r="M479">
        <v>52000</v>
      </c>
    </row>
    <row r="480" spans="1:13" x14ac:dyDescent="0.25">
      <c r="A480" t="s">
        <v>688</v>
      </c>
      <c r="B480" t="s">
        <v>159</v>
      </c>
      <c r="C480" t="s">
        <v>61</v>
      </c>
      <c r="D480" t="s">
        <v>97</v>
      </c>
      <c r="E480" t="s">
        <v>53</v>
      </c>
      <c r="F480">
        <v>4</v>
      </c>
      <c r="G480">
        <v>1000</v>
      </c>
      <c r="H480" s="1">
        <v>45867</v>
      </c>
      <c r="I480" t="s">
        <v>63</v>
      </c>
      <c r="J480" t="s">
        <v>45</v>
      </c>
      <c r="K480">
        <v>600</v>
      </c>
      <c r="L480">
        <v>4000</v>
      </c>
      <c r="M480">
        <v>1600</v>
      </c>
    </row>
    <row r="481" spans="1:13" x14ac:dyDescent="0.25">
      <c r="A481" t="s">
        <v>689</v>
      </c>
      <c r="B481" t="s">
        <v>278</v>
      </c>
      <c r="C481" t="s">
        <v>124</v>
      </c>
      <c r="D481" t="s">
        <v>105</v>
      </c>
      <c r="E481" t="s">
        <v>53</v>
      </c>
      <c r="F481">
        <v>2</v>
      </c>
      <c r="G481">
        <v>1200</v>
      </c>
      <c r="H481" s="1">
        <v>45700</v>
      </c>
      <c r="I481" t="s">
        <v>23</v>
      </c>
      <c r="J481" t="s">
        <v>19</v>
      </c>
      <c r="K481">
        <v>700</v>
      </c>
      <c r="L481">
        <v>2400</v>
      </c>
      <c r="M481">
        <v>1000</v>
      </c>
    </row>
    <row r="482" spans="1:13" x14ac:dyDescent="0.25">
      <c r="A482" t="s">
        <v>690</v>
      </c>
      <c r="B482" t="s">
        <v>511</v>
      </c>
      <c r="C482" t="s">
        <v>57</v>
      </c>
      <c r="D482" t="s">
        <v>62</v>
      </c>
      <c r="E482" t="s">
        <v>34</v>
      </c>
      <c r="F482">
        <v>1</v>
      </c>
      <c r="G482">
        <v>2200</v>
      </c>
      <c r="H482" s="1">
        <v>45798</v>
      </c>
      <c r="I482" t="s">
        <v>54</v>
      </c>
      <c r="J482" t="s">
        <v>19</v>
      </c>
      <c r="K482">
        <v>1400</v>
      </c>
      <c r="L482">
        <v>2200</v>
      </c>
      <c r="M482">
        <v>800</v>
      </c>
    </row>
    <row r="483" spans="1:13" x14ac:dyDescent="0.25">
      <c r="A483" t="s">
        <v>691</v>
      </c>
      <c r="B483" t="s">
        <v>469</v>
      </c>
      <c r="C483" t="s">
        <v>51</v>
      </c>
      <c r="D483" t="s">
        <v>67</v>
      </c>
      <c r="E483" t="s">
        <v>53</v>
      </c>
      <c r="F483">
        <v>5</v>
      </c>
      <c r="G483">
        <v>2800</v>
      </c>
      <c r="H483" s="1">
        <v>45911</v>
      </c>
      <c r="I483" t="s">
        <v>44</v>
      </c>
      <c r="J483" t="s">
        <v>29</v>
      </c>
      <c r="K483">
        <v>1800</v>
      </c>
      <c r="L483">
        <v>14000</v>
      </c>
      <c r="M483">
        <v>5000</v>
      </c>
    </row>
    <row r="484" spans="1:13" x14ac:dyDescent="0.25">
      <c r="A484" t="s">
        <v>692</v>
      </c>
      <c r="B484" t="s">
        <v>352</v>
      </c>
      <c r="C484" t="s">
        <v>121</v>
      </c>
      <c r="D484" t="s">
        <v>16</v>
      </c>
      <c r="E484" t="s">
        <v>17</v>
      </c>
      <c r="F484">
        <v>3</v>
      </c>
      <c r="G484">
        <v>5000</v>
      </c>
      <c r="H484" s="1">
        <v>45936</v>
      </c>
      <c r="I484" t="s">
        <v>23</v>
      </c>
      <c r="J484" t="s">
        <v>45</v>
      </c>
      <c r="K484">
        <v>3200</v>
      </c>
      <c r="L484">
        <v>15000</v>
      </c>
      <c r="M484">
        <v>5400</v>
      </c>
    </row>
    <row r="485" spans="1:13" x14ac:dyDescent="0.25">
      <c r="A485" t="s">
        <v>693</v>
      </c>
      <c r="B485" t="s">
        <v>41</v>
      </c>
      <c r="C485" t="s">
        <v>42</v>
      </c>
      <c r="D485" t="s">
        <v>52</v>
      </c>
      <c r="E485" t="s">
        <v>53</v>
      </c>
      <c r="F485">
        <v>2</v>
      </c>
      <c r="G485">
        <v>700</v>
      </c>
      <c r="H485" s="1">
        <v>45875</v>
      </c>
      <c r="I485" t="s">
        <v>18</v>
      </c>
      <c r="J485" t="s">
        <v>39</v>
      </c>
      <c r="K485">
        <v>350</v>
      </c>
      <c r="L485">
        <v>1400</v>
      </c>
      <c r="M485">
        <v>700</v>
      </c>
    </row>
    <row r="486" spans="1:13" x14ac:dyDescent="0.25">
      <c r="A486" t="s">
        <v>694</v>
      </c>
      <c r="B486" t="s">
        <v>180</v>
      </c>
      <c r="C486" t="s">
        <v>27</v>
      </c>
      <c r="D486" t="s">
        <v>75</v>
      </c>
      <c r="E486" t="s">
        <v>17</v>
      </c>
      <c r="F486">
        <v>4</v>
      </c>
      <c r="G486">
        <v>22000</v>
      </c>
      <c r="H486" s="1">
        <v>45792</v>
      </c>
      <c r="I486" t="s">
        <v>44</v>
      </c>
      <c r="J486" t="s">
        <v>45</v>
      </c>
      <c r="K486">
        <v>17000</v>
      </c>
      <c r="L486">
        <v>88000</v>
      </c>
      <c r="M486">
        <v>20000</v>
      </c>
    </row>
    <row r="487" spans="1:13" x14ac:dyDescent="0.25">
      <c r="A487" t="s">
        <v>695</v>
      </c>
      <c r="B487" t="s">
        <v>180</v>
      </c>
      <c r="C487" t="s">
        <v>27</v>
      </c>
      <c r="D487" t="s">
        <v>16</v>
      </c>
      <c r="E487" t="s">
        <v>17</v>
      </c>
      <c r="F487">
        <v>2</v>
      </c>
      <c r="G487">
        <v>5000</v>
      </c>
      <c r="H487" s="1">
        <v>45765</v>
      </c>
      <c r="I487" t="s">
        <v>63</v>
      </c>
      <c r="J487" t="s">
        <v>19</v>
      </c>
      <c r="K487">
        <v>3200</v>
      </c>
      <c r="L487">
        <v>10000</v>
      </c>
      <c r="M487">
        <v>3600</v>
      </c>
    </row>
    <row r="488" spans="1:13" x14ac:dyDescent="0.25">
      <c r="A488" t="s">
        <v>696</v>
      </c>
      <c r="B488" t="s">
        <v>114</v>
      </c>
      <c r="C488" t="s">
        <v>84</v>
      </c>
      <c r="D488" t="s">
        <v>43</v>
      </c>
      <c r="E488" t="s">
        <v>17</v>
      </c>
      <c r="F488">
        <v>2</v>
      </c>
      <c r="G488">
        <v>1800</v>
      </c>
      <c r="H488" s="1">
        <v>45763</v>
      </c>
      <c r="I488" t="s">
        <v>38</v>
      </c>
      <c r="J488" t="s">
        <v>29</v>
      </c>
      <c r="K488">
        <v>1100</v>
      </c>
      <c r="L488">
        <v>3600</v>
      </c>
      <c r="M488">
        <v>1400</v>
      </c>
    </row>
    <row r="489" spans="1:13" x14ac:dyDescent="0.25">
      <c r="A489" t="s">
        <v>697</v>
      </c>
      <c r="B489" t="s">
        <v>69</v>
      </c>
      <c r="C489" t="s">
        <v>70</v>
      </c>
      <c r="D489" t="s">
        <v>37</v>
      </c>
      <c r="E489" t="s">
        <v>34</v>
      </c>
      <c r="F489">
        <v>5</v>
      </c>
      <c r="G489">
        <v>3000</v>
      </c>
      <c r="H489" s="1">
        <v>45933</v>
      </c>
      <c r="I489" t="s">
        <v>38</v>
      </c>
      <c r="J489" t="s">
        <v>39</v>
      </c>
      <c r="K489">
        <v>1900</v>
      </c>
      <c r="L489">
        <v>15000</v>
      </c>
      <c r="M489">
        <v>5500</v>
      </c>
    </row>
    <row r="490" spans="1:13" x14ac:dyDescent="0.25">
      <c r="A490" t="s">
        <v>698</v>
      </c>
      <c r="B490" t="s">
        <v>117</v>
      </c>
      <c r="C490" t="s">
        <v>118</v>
      </c>
      <c r="D490" t="s">
        <v>62</v>
      </c>
      <c r="E490" t="s">
        <v>34</v>
      </c>
      <c r="F490">
        <v>5</v>
      </c>
      <c r="G490">
        <v>2200</v>
      </c>
      <c r="H490" s="1">
        <v>45794</v>
      </c>
      <c r="I490" t="s">
        <v>44</v>
      </c>
      <c r="J490" t="s">
        <v>19</v>
      </c>
      <c r="K490">
        <v>1400</v>
      </c>
      <c r="L490">
        <v>11000</v>
      </c>
      <c r="M490">
        <v>4000</v>
      </c>
    </row>
    <row r="491" spans="1:13" x14ac:dyDescent="0.25">
      <c r="A491" t="s">
        <v>699</v>
      </c>
      <c r="B491" t="s">
        <v>167</v>
      </c>
      <c r="C491" t="s">
        <v>157</v>
      </c>
      <c r="D491" t="s">
        <v>187</v>
      </c>
      <c r="E491" t="s">
        <v>53</v>
      </c>
      <c r="F491">
        <v>1</v>
      </c>
      <c r="G491">
        <v>3500</v>
      </c>
      <c r="H491" s="1">
        <v>45799</v>
      </c>
      <c r="I491" t="s">
        <v>79</v>
      </c>
      <c r="J491" t="s">
        <v>19</v>
      </c>
      <c r="K491">
        <v>2300</v>
      </c>
      <c r="L491">
        <v>3500</v>
      </c>
      <c r="M491">
        <v>1200</v>
      </c>
    </row>
    <row r="492" spans="1:13" x14ac:dyDescent="0.25">
      <c r="A492" t="s">
        <v>700</v>
      </c>
      <c r="B492" t="s">
        <v>445</v>
      </c>
      <c r="C492" t="s">
        <v>51</v>
      </c>
      <c r="D492" t="s">
        <v>43</v>
      </c>
      <c r="E492" t="s">
        <v>17</v>
      </c>
      <c r="F492">
        <v>3</v>
      </c>
      <c r="G492">
        <v>1800</v>
      </c>
      <c r="H492" s="1">
        <v>45784</v>
      </c>
      <c r="I492" t="s">
        <v>35</v>
      </c>
      <c r="J492" t="s">
        <v>19</v>
      </c>
      <c r="K492">
        <v>1100</v>
      </c>
      <c r="L492">
        <v>5400</v>
      </c>
      <c r="M492">
        <v>2100</v>
      </c>
    </row>
    <row r="493" spans="1:13" x14ac:dyDescent="0.25">
      <c r="A493" t="s">
        <v>701</v>
      </c>
      <c r="B493" t="s">
        <v>431</v>
      </c>
      <c r="C493" t="s">
        <v>84</v>
      </c>
      <c r="D493" t="s">
        <v>37</v>
      </c>
      <c r="E493" t="s">
        <v>34</v>
      </c>
      <c r="F493">
        <v>4</v>
      </c>
      <c r="G493">
        <v>3000</v>
      </c>
      <c r="H493" s="1">
        <v>45850</v>
      </c>
      <c r="I493" t="s">
        <v>44</v>
      </c>
      <c r="J493" t="s">
        <v>24</v>
      </c>
      <c r="K493">
        <v>1900</v>
      </c>
      <c r="L493">
        <v>12000</v>
      </c>
      <c r="M493">
        <v>4400</v>
      </c>
    </row>
    <row r="494" spans="1:13" x14ac:dyDescent="0.25">
      <c r="A494" t="s">
        <v>702</v>
      </c>
      <c r="B494" t="s">
        <v>65</v>
      </c>
      <c r="C494" t="s">
        <v>66</v>
      </c>
      <c r="D494" t="s">
        <v>78</v>
      </c>
      <c r="E494" t="s">
        <v>53</v>
      </c>
      <c r="F494">
        <v>5</v>
      </c>
      <c r="G494">
        <v>4500</v>
      </c>
      <c r="H494" s="1">
        <v>45800</v>
      </c>
      <c r="I494" t="s">
        <v>35</v>
      </c>
      <c r="J494" t="s">
        <v>45</v>
      </c>
      <c r="K494">
        <v>2900</v>
      </c>
      <c r="L494">
        <v>22500</v>
      </c>
      <c r="M494">
        <v>8000</v>
      </c>
    </row>
    <row r="495" spans="1:13" x14ac:dyDescent="0.25">
      <c r="A495" t="s">
        <v>703</v>
      </c>
      <c r="B495" t="s">
        <v>433</v>
      </c>
      <c r="C495" t="s">
        <v>70</v>
      </c>
      <c r="D495" t="s">
        <v>112</v>
      </c>
      <c r="E495" t="s">
        <v>34</v>
      </c>
      <c r="F495">
        <v>5</v>
      </c>
      <c r="G495">
        <v>1500</v>
      </c>
      <c r="H495" s="1">
        <v>45659</v>
      </c>
      <c r="I495" t="s">
        <v>35</v>
      </c>
      <c r="J495" t="s">
        <v>39</v>
      </c>
      <c r="K495">
        <v>900</v>
      </c>
      <c r="L495">
        <v>7500</v>
      </c>
      <c r="M495">
        <v>3000</v>
      </c>
    </row>
    <row r="496" spans="1:13" x14ac:dyDescent="0.25">
      <c r="A496" t="s">
        <v>704</v>
      </c>
      <c r="B496" t="s">
        <v>241</v>
      </c>
      <c r="C496" t="s">
        <v>84</v>
      </c>
      <c r="D496" t="s">
        <v>28</v>
      </c>
      <c r="E496" t="s">
        <v>17</v>
      </c>
      <c r="F496">
        <v>5</v>
      </c>
      <c r="G496">
        <v>2500</v>
      </c>
      <c r="H496" s="1">
        <v>45861</v>
      </c>
      <c r="I496" t="s">
        <v>63</v>
      </c>
      <c r="J496" t="s">
        <v>19</v>
      </c>
      <c r="K496">
        <v>1500</v>
      </c>
      <c r="L496">
        <v>12500</v>
      </c>
      <c r="M496">
        <v>5000</v>
      </c>
    </row>
    <row r="497" spans="1:13" x14ac:dyDescent="0.25">
      <c r="A497" t="s">
        <v>705</v>
      </c>
      <c r="B497" t="s">
        <v>156</v>
      </c>
      <c r="C497" t="s">
        <v>157</v>
      </c>
      <c r="D497" t="s">
        <v>105</v>
      </c>
      <c r="E497" t="s">
        <v>53</v>
      </c>
      <c r="F497">
        <v>3</v>
      </c>
      <c r="G497">
        <v>1200</v>
      </c>
      <c r="H497" s="1">
        <v>45823</v>
      </c>
      <c r="I497" t="s">
        <v>38</v>
      </c>
      <c r="J497" t="s">
        <v>29</v>
      </c>
      <c r="K497">
        <v>700</v>
      </c>
      <c r="L497">
        <v>3600</v>
      </c>
      <c r="M497">
        <v>1500</v>
      </c>
    </row>
    <row r="498" spans="1:13" x14ac:dyDescent="0.25">
      <c r="A498" t="s">
        <v>706</v>
      </c>
      <c r="B498" t="s">
        <v>248</v>
      </c>
      <c r="C498" t="s">
        <v>48</v>
      </c>
      <c r="D498" t="s">
        <v>43</v>
      </c>
      <c r="E498" t="s">
        <v>17</v>
      </c>
      <c r="F498">
        <v>5</v>
      </c>
      <c r="G498">
        <v>1800</v>
      </c>
      <c r="H498" s="1">
        <v>45906</v>
      </c>
      <c r="I498" t="s">
        <v>23</v>
      </c>
      <c r="J498" t="s">
        <v>24</v>
      </c>
      <c r="K498">
        <v>1100</v>
      </c>
      <c r="L498">
        <v>9000</v>
      </c>
      <c r="M498">
        <v>3500</v>
      </c>
    </row>
    <row r="499" spans="1:13" x14ac:dyDescent="0.25">
      <c r="A499" t="s">
        <v>707</v>
      </c>
      <c r="B499" t="s">
        <v>394</v>
      </c>
      <c r="C499" t="s">
        <v>118</v>
      </c>
      <c r="D499" t="s">
        <v>16</v>
      </c>
      <c r="E499" t="s">
        <v>17</v>
      </c>
      <c r="F499">
        <v>4</v>
      </c>
      <c r="G499">
        <v>5000</v>
      </c>
      <c r="H499" s="1">
        <v>45666</v>
      </c>
      <c r="I499" t="s">
        <v>79</v>
      </c>
      <c r="J499" t="s">
        <v>45</v>
      </c>
      <c r="K499">
        <v>3200</v>
      </c>
      <c r="L499">
        <v>20000</v>
      </c>
      <c r="M499">
        <v>7200</v>
      </c>
    </row>
    <row r="500" spans="1:13" x14ac:dyDescent="0.25">
      <c r="A500" t="s">
        <v>708</v>
      </c>
      <c r="B500" t="s">
        <v>482</v>
      </c>
      <c r="C500" t="s">
        <v>118</v>
      </c>
      <c r="D500" t="s">
        <v>67</v>
      </c>
      <c r="E500" t="s">
        <v>53</v>
      </c>
      <c r="F500">
        <v>1</v>
      </c>
      <c r="G500">
        <v>2800</v>
      </c>
      <c r="H500" s="1">
        <v>45877</v>
      </c>
      <c r="I500" t="s">
        <v>79</v>
      </c>
      <c r="J500" t="s">
        <v>39</v>
      </c>
      <c r="K500">
        <v>1800</v>
      </c>
      <c r="L500">
        <v>2800</v>
      </c>
      <c r="M500">
        <v>1000</v>
      </c>
    </row>
    <row r="501" spans="1:13" x14ac:dyDescent="0.25">
      <c r="A501" t="s">
        <v>709</v>
      </c>
      <c r="B501" t="s">
        <v>250</v>
      </c>
      <c r="C501" t="s">
        <v>157</v>
      </c>
      <c r="D501" t="s">
        <v>173</v>
      </c>
      <c r="E501" t="s">
        <v>17</v>
      </c>
      <c r="F501">
        <v>3</v>
      </c>
      <c r="G501">
        <v>900</v>
      </c>
      <c r="H501" s="1">
        <v>45705</v>
      </c>
      <c r="I501" t="s">
        <v>54</v>
      </c>
      <c r="J501" t="s">
        <v>24</v>
      </c>
      <c r="K501">
        <v>500</v>
      </c>
      <c r="L501">
        <v>2700</v>
      </c>
      <c r="M501">
        <v>1200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monthly revenue trend</vt:lpstr>
      <vt:lpstr>revenue by category</vt:lpstr>
      <vt:lpstr>revenue by region</vt:lpstr>
      <vt:lpstr>order by payment method</vt:lpstr>
      <vt:lpstr>DASHBOARD</vt:lpstr>
      <vt:lpstr>ecommerce_sales_500_rows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Harini C</cp:lastModifiedBy>
  <dcterms:created xsi:type="dcterms:W3CDTF">2026-08-30T05:03:36Z</dcterms:created>
  <dcterms:modified xsi:type="dcterms:W3CDTF">2026-08-30T07:52:25Z</dcterms:modified>
</cp:coreProperties>
</file>